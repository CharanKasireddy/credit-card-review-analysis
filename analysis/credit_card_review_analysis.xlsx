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a512f3b15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8fe17c412564fcb"/>
    <x:sheet xmlns:r="http://schemas.openxmlformats.org/officeDocument/2006/relationships" name="BigQuery Summary" sheetId="2" r:id="R67c9d29dfc1d4b79"/>
    <x:sheet xmlns:r="http://schemas.openxmlformats.org/officeDocument/2006/relationships" name="BigQuery Ranking" sheetId="3" r:id="Rc116d596aff64d2a"/>
    <x:sheet xmlns:r="http://schemas.openxmlformats.org/officeDocument/2006/relationships" name="Current Terms" sheetId="4" r:id="R747a86e49d4c4293"/>
    <x:sheet xmlns:r="http://schemas.openxmlformats.org/officeDocument/2006/relationships" name="Category Leaders" sheetId="5" r:id="R4ec56236bb0e4698"/>
    <x:sheet xmlns:r="http://schemas.openxmlformats.org/officeDocument/2006/relationships" name="Methodology" sheetId="6" r:id="R7d1563bbbd694bc4"/>
    <x:sheet xmlns:r="http://schemas.openxmlformats.org/officeDocument/2006/relationships" name="Sources" sheetId="7" r:id="R9d6c5fe8c507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%"/>
    <x:numFmt numFmtId="202" formatCode="0.000000"/>
    <x:numFmt numFmtId="203" formatCode="0.000"/>
    <x:numFmt numFmtId="204" formatCode="0.00%"/>
    <x:numFmt numFmtId="205" formatCode="₹#,##0"/>
    <x:numFmt numFmtId="206" formatCode="0.00"/>
  </x:numFmts>
  <x:fonts count="21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20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0"/>
      <x:color rgb="FF1B7F4B"/>
      <x:name val="Aptos"/>
    </x:font>
    <x:font>
      <x:b/>
      <x:sz val="11"/>
      <x:color rgb="FF17365D"/>
      <x:name val="Carlito"/>
    </x:font>
    <x:font>
      <x:sz val="11"/>
      <x:color rgb="FF7A4D00"/>
      <x:name val="Carlito"/>
    </x:font>
    <x:font>
      <x:sz val="11"/>
      <x:color rgb="FF1B7F4B"/>
      <x:name val="Carlito"/>
    </x:font>
    <x:font>
      <x:b/>
      <x:sz val="11"/>
      <x:color rgb="FF1B7F4B"/>
      <x:name val="Carlito"/>
    </x:font>
    <x:font>
      <x:sz val="11"/>
      <x:color rgb="FF17365D"/>
      <x:name val="Carlito"/>
    </x:font>
    <x:font>
      <x:sz val="11"/>
      <x:color rgb="FF1F2937"/>
      <x:name val="Carlito"/>
    </x:font>
    <x:font>
      <x:b/>
      <x:sz val="20"/>
      <x:color rgb="FFFFFFFF"/>
      <x:name val="Aptos"/>
    </x:font>
    <x:font>
      <x:i/>
      <x:sz val="11"/>
      <x:color rgb="FF17365D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B7F4B"/>
      <x:name val="Aptos"/>
    </x:font>
    <x:font>
      <x:b/>
      <x:sz val="11"/>
      <x:color rgb="FF1B7F4B"/>
      <x:name val="Aptos"/>
    </x:font>
    <x:font>
      <x:sz val="11"/>
      <x:color rgb="FF17365D"/>
      <x:name val="Aptos"/>
    </x:font>
    <x:font>
      <x:sz val="11"/>
      <x:color rgb="FF1F293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4F93CE"/>
      </x:patternFill>
    </x:fill>
    <x:fill>
      <x:patternFill patternType="solid">
        <x:fgColor rgb="FFEAF4FB"/>
      </x:patternFill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DDF3E5"/>
      </x:patternFill>
    </x:fill>
    <x:fill>
      <x:patternFill patternType="solid">
        <x:fgColor rgb="FFF3F6FA"/>
      </x:patternFill>
    </x:fill>
    <x:fill>
      <x:patternFill patternType="solid">
        <x:fgColor rgb="FFFFF4E5"/>
      </x:patternFill>
    </x:fill>
  </x:fills>
  <x:borders count="25">
    <x:border/>
    <x:border>
      <x:right style="thin">
        <x:color rgb="FFE4EAF1"/>
      </x:right>
      <x:bottom style="thin">
        <x:color rgb="FFE4EAF1"/>
      </x:bottom>
    </x:border>
    <x:border>
      <x:left style="thin">
        <x:color rgb="FFE4EAF1"/>
      </x:left>
      <x:right style="thin">
        <x:color rgb="FFE4EAF1"/>
      </x:right>
      <x:bottom style="thin">
        <x:color rgb="FFE4EAF1"/>
      </x:bottom>
    </x:border>
    <x:border>
      <x:left style="thin">
        <x:color rgb="FFE4EAF1"/>
      </x:left>
      <x:bottom style="thin">
        <x:color rgb="FFE4EAF1"/>
      </x:bottom>
    </x:border>
    <x:border>
      <x:right style="thin">
        <x:color rgb="FFE4EAF1"/>
      </x:right>
      <x:top style="thin">
        <x:color rgb="FFE4EAF1"/>
      </x:top>
    </x:border>
    <x:border>
      <x:left style="thin">
        <x:color rgb="FFE4EAF1"/>
      </x:left>
      <x:right style="thin">
        <x:color rgb="FFE4EAF1"/>
      </x:right>
      <x:top style="thin">
        <x:color rgb="FFE4EAF1"/>
      </x:top>
    </x:border>
    <x:border>
      <x:left style="thin">
        <x:color rgb="FFE4EAF1"/>
      </x:left>
      <x:top style="thin">
        <x:color rgb="FFE4EAF1"/>
      </x:top>
    </x:border>
    <x:border>
      <x:left style="thin">
        <x:color rgb="FFCAD7E6"/>
      </x:left>
      <x:right style="thin">
        <x:color rgb="FFE4EAF1"/>
      </x:right>
      <x:top style="thin">
        <x:color rgb="FFCAD7E6"/>
      </x:top>
      <x:bottom style="thin">
        <x:color rgb="FFCAD7E6"/>
      </x:bottom>
    </x:border>
    <x:border>
      <x:left style="thin">
        <x:color rgb="FFE4EAF1"/>
      </x:left>
      <x:right style="thin">
        <x:color rgb="FFE4EAF1"/>
      </x:right>
      <x:top style="thin">
        <x:color rgb="FFCAD7E6"/>
      </x:top>
      <x:bottom style="thin">
        <x:color rgb="FFCAD7E6"/>
      </x:bottom>
    </x:border>
    <x:border>
      <x:left style="thin">
        <x:color rgb="FFE4EAF1"/>
      </x:left>
      <x:right style="thin">
        <x:color rgb="FFCAD7E6"/>
      </x:right>
      <x:top style="thin">
        <x:color rgb="FFCAD7E6"/>
      </x:top>
      <x:bottom style="thin">
        <x:color rgb="FFCAD7E6"/>
      </x:bottom>
    </x:border>
    <x:border>
      <x:right style="thin">
        <x:color rgb="FFE4EAF1"/>
      </x:right>
      <x:top style="thin">
        <x:color rgb="FFE4EAF1"/>
      </x:top>
      <x:bottom style="thin">
        <x:color rgb="FFE4EAF1"/>
      </x:bottom>
    </x:border>
    <x:border>
      <x:left style="thin">
        <x:color rgb="FFE4EAF1"/>
      </x:left>
      <x:right style="thin">
        <x:color rgb="FFE4EAF1"/>
      </x:right>
      <x:top style="thin">
        <x:color rgb="FFE4EAF1"/>
      </x:top>
      <x:bottom style="thin">
        <x:color rgb="FFE4EAF1"/>
      </x:bottom>
    </x:border>
    <x:border>
      <x:left style="thin">
        <x:color rgb="FFE4EAF1"/>
      </x:left>
      <x:top style="thin">
        <x:color rgb="FFE4EAF1"/>
      </x:top>
      <x:bottom style="thin">
        <x:color rgb="FFE4EAF1"/>
      </x:bottom>
    </x:border>
    <x:border>
      <x:left style="thin">
        <x:color rgb="FFCAD7E6"/>
      </x:left>
      <x:top style="thin">
        <x:color rgb="FFCAD7E6"/>
      </x:top>
      <x:bottom style="thin">
        <x:color rgb="FFCAD7E6"/>
      </x:bottom>
    </x:border>
    <x:border>
      <x:top style="thin">
        <x:color rgb="FFCAD7E6"/>
      </x:top>
      <x:bottom style="thin">
        <x:color rgb="FFCAD7E6"/>
      </x:bottom>
    </x:border>
    <x:border>
      <x:right style="thin">
        <x:color rgb="FFCAD7E6"/>
      </x:right>
      <x:top style="thin">
        <x:color rgb="FFCAD7E6"/>
      </x:top>
      <x:bottom style="thin">
        <x:color rgb="FFCAD7E6"/>
      </x:bottom>
    </x:border>
    <x:border>
      <x:right style="thin">
        <x:color rgb="FFEDF1F6"/>
      </x:right>
      <x:bottom style="thin">
        <x:color rgb="FFEDF1F6"/>
      </x:bottom>
    </x:border>
    <x:border>
      <x:left style="thin">
        <x:color rgb="FFEDF1F6"/>
      </x:left>
      <x:right style="thin">
        <x:color rgb="FFEDF1F6"/>
      </x:right>
      <x:bottom style="thin">
        <x:color rgb="FFEDF1F6"/>
      </x:bottom>
    </x:border>
    <x:border>
      <x:left style="thin">
        <x:color rgb="FFEDF1F6"/>
      </x:left>
      <x:bottom style="thin">
        <x:color rgb="FFEDF1F6"/>
      </x:bottom>
    </x:border>
    <x:border>
      <x:right style="thin">
        <x:color rgb="FFEDF1F6"/>
      </x:right>
      <x:top style="thin">
        <x:color rgb="FFEDF1F6"/>
      </x:top>
      <x:bottom style="thin">
        <x:color rgb="FFEDF1F6"/>
      </x:bottom>
    </x:border>
    <x:border>
      <x:left style="thin">
        <x:color rgb="FFEDF1F6"/>
      </x:left>
      <x:right style="thin">
        <x:color rgb="FFEDF1F6"/>
      </x:right>
      <x:top style="thin">
        <x:color rgb="FFEDF1F6"/>
      </x:top>
      <x:bottom style="thin">
        <x:color rgb="FFEDF1F6"/>
      </x:bottom>
    </x:border>
    <x:border>
      <x:left style="thin">
        <x:color rgb="FFEDF1F6"/>
      </x:left>
      <x:top style="thin">
        <x:color rgb="FFEDF1F6"/>
      </x:top>
      <x:bottom style="thin">
        <x:color rgb="FFEDF1F6"/>
      </x:bottom>
    </x:border>
    <x:border>
      <x:right style="thin">
        <x:color rgb="FFEDF1F6"/>
      </x:right>
      <x:top style="thin">
        <x:color rgb="FFEDF1F6"/>
      </x:top>
    </x:border>
    <x:border>
      <x:left style="thin">
        <x:color rgb="FFEDF1F6"/>
      </x:left>
      <x:right style="thin">
        <x:color rgb="FFEDF1F6"/>
      </x:right>
      <x:top style="thin">
        <x:color rgb="FFEDF1F6"/>
      </x:top>
    </x:border>
    <x:border>
      <x:left style="thin">
        <x:color rgb="FFEDF1F6"/>
      </x:left>
      <x:top style="thin">
        <x:color rgb="FFEDF1F6"/>
      </x:top>
    </x:border>
  </x:borders>
  <x:cellStyleXfs count="1">
    <x:xf numFmtId="0" fontId="0" fillId="0" borderId="0"/>
  </x:cellStyleXfs>
  <x:cellXfs count="17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7" xfId="0" applyNumberFormat="1" applyFont="1" applyFill="1" applyBorder="1"/>
    <x:xf numFmtId="0" fontId="2" fillId="2" borderId="8" xfId="0" applyNumberFormat="1" applyFont="1" applyFill="1" applyBorder="1"/>
    <x:xf numFmtId="0" fontId="2" fillId="2" borderId="9" xfId="0" applyNumberFormat="1" applyFont="1" applyFill="1" applyBorder="1"/>
    <x:xf numFmtId="0" fontId="2" fillId="2" borderId="7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9" xfId="0" applyNumberFormat="1" applyFont="1" applyFill="1" applyBorder="1" applyAlignment="1">
      <x:alignment vertical="center" wrapText="1"/>
    </x:xf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6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200" fontId="1" fillId="0" borderId="11" xfId="0" applyNumberFormat="1" applyFont="1" applyFill="1" applyBorder="1"/>
    <x:xf numFmtId="203" fontId="1" fillId="0" borderId="11" xfId="0" applyNumberFormat="1" applyFont="1" applyFill="1" applyBorder="1"/>
    <x:xf numFmtId="203" fontId="1" fillId="0" borderId="5" xfId="0" applyNumberFormat="1" applyFont="1" applyFill="1" applyBorder="1"/>
    <x:xf numFmtId="202" fontId="1" fillId="0" borderId="11" xfId="0" applyNumberFormat="1" applyFont="1" applyFill="1" applyBorder="1"/>
    <x:xf numFmtId="202" fontId="1" fillId="0" borderId="5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200" fontId="1" fillId="3" borderId="11" xfId="0" applyNumberFormat="1" applyFont="1" applyFill="1" applyBorder="1"/>
    <x:xf numFmtId="203" fontId="1" fillId="3" borderId="11" xfId="0" applyNumberFormat="1" applyFont="1" applyFill="1" applyBorder="1"/>
    <x:xf numFmtId="202" fontId="1" fillId="3" borderId="11" xfId="0" applyNumberFormat="1" applyFont="1" applyFill="1" applyBorder="1"/>
    <x:xf numFmtId="0" fontId="1" fillId="3" borderId="12" xfId="0" applyNumberFormat="1" applyFont="1" applyFill="1" applyBorder="1"/>
    <x:xf numFmtId="204" fontId="1" fillId="0" borderId="11" xfId="0" applyNumberFormat="1" applyFont="1" applyFill="1" applyBorder="1"/>
    <x:xf numFmtId="204" fontId="1" fillId="0" borderId="5" xfId="0" applyNumberFormat="1" applyFont="1" applyFill="1" applyBorder="1"/>
    <x:xf numFmtId="205" fontId="1" fillId="0" borderId="11" xfId="0" applyNumberFormat="1" applyFont="1" applyFill="1" applyBorder="1"/>
    <x:xf numFmtId="205" fontId="1" fillId="0" borderId="5" xfId="0" applyNumberFormat="1" applyFont="1" applyFill="1" applyBorder="1"/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3" xfId="0" applyNumberFormat="1" applyFont="1" applyFill="1" applyBorder="1"/>
    <x:xf numFmtId="0" fontId="5" fillId="2" borderId="14" xfId="0" applyNumberFormat="1" applyFont="1" applyFill="1" applyBorder="1"/>
    <x:xf numFmtId="0" fontId="5" fillId="2" borderId="15" xfId="0" applyNumberFormat="1" applyFont="1" applyFill="1" applyBorder="1"/>
    <x:xf numFmtId="0" fontId="5" fillId="2" borderId="13" xfId="0" applyNumberFormat="1" applyFont="1" applyFill="1" applyBorder="1" applyAlignment="1">
      <x:alignment wrapText="1"/>
    </x:xf>
    <x:xf numFmtId="0" fontId="5" fillId="2" borderId="14" xfId="0" applyNumberFormat="1" applyFont="1" applyFill="1" applyBorder="1" applyAlignment="1">
      <x:alignment wrapText="1"/>
    </x:xf>
    <x:xf numFmtId="0" fontId="5" fillId="2" borderId="15" xfId="0" applyNumberFormat="1" applyFont="1" applyFill="1" applyBorder="1" applyAlignment="1">
      <x:alignment wrapText="1"/>
    </x:xf>
    <x:xf numFmtId="0" fontId="5" fillId="2" borderId="13" xfId="0" applyNumberFormat="1" applyFont="1" applyFill="1" applyBorder="1" applyAlignment="1">
      <x:alignment vertical="center" wrapText="1"/>
    </x:xf>
    <x:xf numFmtId="0" fontId="5" fillId="2" borderId="14" xfId="0" applyNumberFormat="1" applyFont="1" applyFill="1" applyBorder="1" applyAlignment="1">
      <x:alignment vertical="center" wrapText="1"/>
    </x:xf>
    <x:xf numFmtId="0" fontId="5" fillId="2" borderId="15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12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12" xfId="0" applyNumberFormat="1" applyFont="1" applyFill="1" applyBorder="1" applyAlignment="1">
      <x:alignment horizontal="center" wrapText="1"/>
    </x:xf>
    <x:xf numFmtId="0" fontId="6" fillId="6" borderId="6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203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12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2" xfId="0" applyNumberFormat="1" applyFont="1" applyFill="1" applyBorder="1" applyAlignment="1">
      <x:alignment wrapText="1"/>
    </x:xf>
    <x:xf numFmtId="0" fontId="9" fillId="0" borderId="3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206" fontId="9" fillId="0" borderId="0" xfId="0" applyNumberFormat="1" applyFont="1" applyFill="1" applyBorder="1"/>
    <x:xf numFmtId="205" fontId="9" fillId="0" borderId="0" xfId="0" applyNumberFormat="1" applyFont="1" applyFill="1" applyBorder="1"/>
    <x:xf numFmtId="205" fontId="0" fillId="0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6" fillId="2" borderId="13" xfId="0" applyNumberFormat="1" applyFont="1" applyFill="1" applyBorder="1" applyAlignment="1">
      <x:alignment vertical="center" wrapText="1"/>
    </x:xf>
    <x:xf numFmtId="0" fontId="16" fillId="2" borderId="15" xfId="0" applyNumberFormat="1" applyFont="1" applyFill="1" applyBorder="1" applyAlignment="1">
      <x:alignment vertical="center" wrapText="1"/>
    </x:xf>
    <x:xf numFmtId="0" fontId="16" fillId="2" borderId="14" xfId="0" applyNumberFormat="1" applyFont="1" applyFill="1" applyBorder="1" applyAlignment="1">
      <x:alignment vertical="center" wrapText="1"/>
    </x:xf>
    <x:xf numFmtId="200" fontId="17" fillId="0" borderId="0" xfId="0" applyNumberFormat="1" applyFont="1" applyFill="1" applyBorder="1"/>
    <x:xf numFmtId="0" fontId="17" fillId="0" borderId="1" xfId="0" applyNumberFormat="1" applyFont="1" applyFill="1" applyBorder="1" applyAlignment="1">
      <x:alignment wrapText="1"/>
    </x:xf>
    <x:xf numFmtId="0" fontId="17" fillId="0" borderId="2" xfId="0" applyNumberFormat="1" applyFont="1" applyFill="1" applyBorder="1" applyAlignment="1">
      <x:alignment wrapText="1"/>
    </x:xf>
    <x:xf numFmtId="0" fontId="17" fillId="0" borderId="3" xfId="0" applyNumberFormat="1" applyFont="1" applyFill="1" applyBorder="1" applyAlignment="1">
      <x:alignment wrapText="1"/>
    </x:xf>
    <x:xf numFmtId="0" fontId="18" fillId="6" borderId="0" xfId="0" applyNumberFormat="1" applyFont="1" applyFill="1" applyBorder="1" applyAlignment="1">
      <x:alignment horizontal="center"/>
    </x:xf>
    <x:xf numFmtId="0" fontId="17" fillId="0" borderId="10" xfId="0" applyNumberFormat="1" applyFont="1" applyFill="1" applyBorder="1" applyAlignment="1">
      <x:alignment wrapText="1"/>
    </x:xf>
    <x:xf numFmtId="0" fontId="17" fillId="0" borderId="11" xfId="0" applyNumberFormat="1" applyFont="1" applyFill="1" applyBorder="1" applyAlignment="1">
      <x:alignment wrapText="1"/>
    </x:xf>
    <x:xf numFmtId="0" fontId="17" fillId="0" borderId="12" xfId="0" applyNumberFormat="1" applyFont="1" applyFill="1" applyBorder="1" applyAlignment="1">
      <x:alignment wrapText="1"/>
    </x:xf>
    <x:xf numFmtId="0" fontId="19" fillId="7" borderId="0" xfId="0" applyNumberFormat="1" applyFont="1" applyFill="1" applyBorder="1" applyAlignment="1">
      <x:alignment vertical="center" wrapText="1"/>
    </x:xf>
    <x:xf numFmtId="201" fontId="17" fillId="0" borderId="0" xfId="0" applyNumberFormat="1" applyFont="1" applyFill="1" applyBorder="1"/>
    <x:xf numFmtId="203" fontId="17" fillId="0" borderId="0" xfId="0" applyNumberFormat="1" applyFont="1" applyFill="1" applyBorder="1"/>
    <x:xf numFmtId="0" fontId="17" fillId="0" borderId="4" xfId="0" applyNumberFormat="1" applyFont="1" applyFill="1" applyBorder="1" applyAlignment="1">
      <x:alignment wrapText="1"/>
    </x:xf>
    <x:xf numFmtId="0" fontId="17" fillId="0" borderId="5" xfId="0" applyNumberFormat="1" applyFont="1" applyFill="1" applyBorder="1" applyAlignment="1">
      <x:alignment wrapText="1"/>
    </x:xf>
    <x:xf numFmtId="0" fontId="17" fillId="0" borderId="6" xfId="0" applyNumberFormat="1" applyFont="1" applyFill="1" applyBorder="1" applyAlignment="1">
      <x:alignment wrapText="1"/>
    </x:xf>
    <x:xf numFmtId="0" fontId="17" fillId="0" borderId="0" xfId="0" applyNumberFormat="1" applyFont="1" applyFill="1" applyBorder="1"/>
    <x:xf numFmtId="206" fontId="17" fillId="0" borderId="0" xfId="0" applyNumberFormat="1" applyFont="1" applyFill="1" applyBorder="1"/>
    <x:xf numFmtId="205" fontId="17" fillId="0" borderId="0" xfId="0" applyNumberFormat="1" applyFont="1" applyFill="1" applyBorder="1"/>
    <x:xf numFmtId="205" fontId="15" fillId="0" borderId="0" xfId="0" applyNumberFormat="1" applyFont="1" applyFill="1" applyBorder="1"/>
    <x:xf numFmtId="0" fontId="16" fillId="4" borderId="0" xfId="0" applyNumberFormat="1" applyFont="1" applyFill="1" applyBorder="1" applyAlignment="1">
      <x:alignment vertical="center"/>
    </x:xf>
    <x:xf numFmtId="0" fontId="20" fillId="7" borderId="0" xfId="0" applyNumberFormat="1" applyFont="1" applyFill="1" applyBorder="1" applyAlignment="1">
      <x:alignment vertical="center" wrapText="1"/>
    </x:xf>
    <x:xf numFmtId="0" fontId="13" fillId="4" borderId="16" xfId="0" applyNumberFormat="1" applyFont="1" applyFill="1" applyBorder="1" applyAlignment="1">
      <x:alignment vertical="center"/>
    </x:xf>
    <x:xf numFmtId="0" fontId="13" fillId="4" borderId="17" xfId="0" applyNumberFormat="1" applyFont="1" applyFill="1" applyBorder="1" applyAlignment="1">
      <x:alignment vertical="center"/>
    </x:xf>
    <x:xf numFmtId="0" fontId="13" fillId="4" borderId="18" xfId="0" applyNumberFormat="1" applyFont="1" applyFill="1" applyBorder="1" applyAlignment="1">
      <x:alignment vertical="center"/>
    </x:xf>
    <x:xf numFmtId="0" fontId="14" fillId="5" borderId="19" xfId="0" applyNumberFormat="1" applyFont="1" applyFill="1" applyBorder="1" applyAlignment="1">
      <x:alignment vertical="center"/>
    </x:xf>
    <x:xf numFmtId="0" fontId="14" fillId="5" borderId="20" xfId="0" applyNumberFormat="1" applyFont="1" applyFill="1" applyBorder="1" applyAlignment="1">
      <x:alignment vertical="center"/>
    </x:xf>
    <x:xf numFmtId="0" fontId="14" fillId="5" borderId="21" xfId="0" applyNumberFormat="1" applyFont="1" applyFill="1" applyBorder="1" applyAlignment="1">
      <x:alignment vertical="center"/>
    </x:xf>
    <x:xf numFmtId="0" fontId="15" fillId="0" borderId="19" xfId="0" applyNumberFormat="1" applyFont="1" applyFill="1" applyBorder="1"/>
    <x:xf numFmtId="0" fontId="15" fillId="0" borderId="20" xfId="0" applyNumberFormat="1" applyFont="1" applyFill="1" applyBorder="1"/>
    <x:xf numFmtId="0" fontId="15" fillId="0" borderId="21" xfId="0" applyNumberFormat="1" applyFont="1" applyFill="1" applyBorder="1"/>
    <x:xf numFmtId="0" fontId="16" fillId="2" borderId="19" xfId="0" applyNumberFormat="1" applyFont="1" applyFill="1" applyBorder="1" applyAlignment="1">
      <x:alignment vertical="center" wrapText="1"/>
    </x:xf>
    <x:xf numFmtId="0" fontId="16" fillId="2" borderId="20" xfId="0" applyNumberFormat="1" applyFont="1" applyFill="1" applyBorder="1" applyAlignment="1">
      <x:alignment vertical="center" wrapText="1"/>
    </x:xf>
    <x:xf numFmtId="200" fontId="17" fillId="0" borderId="20" xfId="0" applyNumberFormat="1" applyFont="1" applyFill="1" applyBorder="1"/>
    <x:xf numFmtId="0" fontId="17" fillId="0" borderId="20" xfId="0" applyNumberFormat="1" applyFont="1" applyFill="1" applyBorder="1" applyAlignment="1">
      <x:alignment wrapText="1"/>
    </x:xf>
    <x:xf numFmtId="0" fontId="18" fillId="6" borderId="20" xfId="0" applyNumberFormat="1" applyFont="1" applyFill="1" applyBorder="1" applyAlignment="1">
      <x:alignment horizontal="center"/>
    </x:xf>
    <x:xf numFmtId="0" fontId="19" fillId="7" borderId="20" xfId="0" applyNumberFormat="1" applyFont="1" applyFill="1" applyBorder="1" applyAlignment="1">
      <x:alignment vertical="center" wrapText="1"/>
    </x:xf>
    <x:xf numFmtId="201" fontId="17" fillId="0" borderId="20" xfId="0" applyNumberFormat="1" applyFont="1" applyFill="1" applyBorder="1"/>
    <x:xf numFmtId="203" fontId="17" fillId="0" borderId="20" xfId="0" applyNumberFormat="1" applyFont="1" applyFill="1" applyBorder="1"/>
    <x:xf numFmtId="0" fontId="17" fillId="0" borderId="19" xfId="0" applyNumberFormat="1" applyFont="1" applyFill="1" applyBorder="1"/>
    <x:xf numFmtId="206" fontId="17" fillId="0" borderId="20" xfId="0" applyNumberFormat="1" applyFont="1" applyFill="1" applyBorder="1"/>
    <x:xf numFmtId="0" fontId="17" fillId="0" borderId="20" xfId="0" applyNumberFormat="1" applyFont="1" applyFill="1" applyBorder="1"/>
    <x:xf numFmtId="205" fontId="17" fillId="0" borderId="20" xfId="0" applyNumberFormat="1" applyFont="1" applyFill="1" applyBorder="1"/>
    <x:xf numFmtId="205" fontId="15" fillId="0" borderId="20" xfId="0" applyNumberFormat="1" applyFont="1" applyFill="1" applyBorder="1"/>
    <x:xf numFmtId="0" fontId="16" fillId="4" borderId="19" xfId="0" applyNumberFormat="1" applyFont="1" applyFill="1" applyBorder="1" applyAlignment="1">
      <x:alignment vertical="center"/>
    </x:xf>
    <x:xf numFmtId="0" fontId="20" fillId="7" borderId="20" xfId="0" applyNumberFormat="1" applyFont="1" applyFill="1" applyBorder="1" applyAlignment="1">
      <x:alignment vertical="center" wrapText="1"/>
    </x:xf>
    <x:xf numFmtId="0" fontId="20" fillId="7" borderId="21" xfId="0" applyNumberFormat="1" applyFont="1" applyFill="1" applyBorder="1" applyAlignment="1">
      <x:alignment vertical="center" wrapText="1"/>
    </x:xf>
    <x:xf numFmtId="0" fontId="16" fillId="4" borderId="22" xfId="0" applyNumberFormat="1" applyFont="1" applyFill="1" applyBorder="1" applyAlignment="1">
      <x:alignment vertical="center"/>
    </x:xf>
    <x:xf numFmtId="0" fontId="20" fillId="7" borderId="23" xfId="0" applyNumberFormat="1" applyFont="1" applyFill="1" applyBorder="1" applyAlignment="1">
      <x:alignment vertical="center" wrapText="1"/>
    </x:xf>
    <x:xf numFmtId="0" fontId="20" fillId="7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3124fec9da46a9" /><Relationship Type="http://schemas.openxmlformats.org/officeDocument/2006/relationships/theme" Target="/xl/theme/theme1.xml" Id="R9b52912e100c4eff" /><Relationship Type="http://schemas.openxmlformats.org/officeDocument/2006/relationships/sharedStrings" Target="/xl/sharedStrings.xml" Id="Rb4a9030822d34c8f" /><Relationship Type="http://schemas.openxmlformats.org/officeDocument/2006/relationships/worksheet" Target="/xl/worksheets/sheet1.xml" Id="Ra8fe17c412564fcb" /><Relationship Type="http://schemas.openxmlformats.org/officeDocument/2006/relationships/worksheet" Target="/xl/worksheets/sheet2.xml" Id="R67c9d29dfc1d4b79" /><Relationship Type="http://schemas.openxmlformats.org/officeDocument/2006/relationships/worksheet" Target="/xl/worksheets/sheet3.xml" Id="Rc116d596aff64d2a" /><Relationship Type="http://schemas.openxmlformats.org/officeDocument/2006/relationships/worksheet" Target="/xl/worksheets/sheet4.xml" Id="R747a86e49d4c4293" /><Relationship Type="http://schemas.openxmlformats.org/officeDocument/2006/relationships/worksheet" Target="/xl/worksheets/sheet5.xml" Id="R4ec56236bb0e4698" /><Relationship Type="http://schemas.openxmlformats.org/officeDocument/2006/relationships/worksheet" Target="/xl/worksheets/sheet6.xml" Id="R7d1563bbbd694bc4" /><Relationship Type="http://schemas.openxmlformats.org/officeDocument/2006/relationships/worksheet" Target="/xl/worksheets/sheet7.xml" Id="R9d6c5fe8c50749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58c1233b6741f1" /><Relationship Type="http://schemas.openxmlformats.org/officeDocument/2006/relationships/chart" Target="/xl/drawings/charts/chart2.xml" Id="Rcb34506c29b34cd8" /><Relationship Type="http://schemas.openxmlformats.org/officeDocument/2006/relationships/chart" Target="/xl/drawings/charts/chart3.xml" Id="R6afa7a21f07b4d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Review Rating (Top Five)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Average rating</c:v>
          </c:tx>
          <c:spPr>
            <a:solidFill xmlns:a="http://schemas.openxmlformats.org/drawingml/2006/main">
              <a:srgbClr val="1E6A8D"/>
            </a:solidFill>
          </c:spPr>
          <c:cat>
            <c:strRef>
              <c:f>'Dashboard'!$A$15:$A$19</c:f>
              <c:strCache>
                <c:ptCount val="0"/>
              </c:strCache>
            </c:strRef>
          </c:cat>
          <c:val>
            <c:numRef>
              <c:f>'Dashboard'!$B$15:$B$19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Fee vs. Welcome Value (₹)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Annual fee (₹)</c:v>
          </c:tx>
          <c:spPr>
            <a:solidFill xmlns:a="http://schemas.openxmlformats.org/drawingml/2006/main">
              <a:srgbClr val="1E6A8D"/>
            </a:solidFill>
          </c:spPr>
          <c:cat>
            <c:strRef>
              <c:f>'Dashboard'!$E$15:$E$19</c:f>
              <c:strCache>
                <c:ptCount val="0"/>
              </c:strCache>
            </c:strRef>
          </c:cat>
          <c:val>
            <c:numRef>
              <c:f>'Dashboard'!$F$15:$F$19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Welcome value (₹)</c:v>
          </c:tx>
          <c:spPr>
            <a:solidFill xmlns:a="http://schemas.openxmlformats.org/drawingml/2006/main">
              <a:srgbClr val="F07A2B"/>
            </a:solidFill>
          </c:spPr>
          <c:cat>
            <c:strRef>
              <c:f>'Dashboard'!$E$15:$E$19</c:f>
              <c:strCache>
                <c:ptCount val="0"/>
              </c:strCache>
            </c:strRef>
          </c:cat>
          <c:val>
            <c:numRef>
              <c:f>'Dashboard'!$G$15:$G$19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Top-Five Review Counts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Total reviews</c:v>
          </c:tx>
          <c:spPr>
            <a:solidFill xmlns:a="http://schemas.openxmlformats.org/drawingml/2006/main">
              <a:srgbClr val="1E6A8D"/>
            </a:solidFill>
          </c:spPr>
          <c:cat>
            <c:strRef>
              <c:f>'Dashboard'!$I$15:$I$19</c:f>
              <c:strCache>
                <c:ptCount val="0"/>
              </c:strCache>
            </c:strRef>
          </c:cat>
          <c:val>
            <c:numRef>
              <c:f>'Dashboard'!$J$15:$J$19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58c1233b6741f1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7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34506c29b34cd8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fa7a21f07b4d1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gQuerySummaryTable" displayName="BigQuerySummaryTable" ref="A1:E2" headerRowCount="1" totalsRowCount="0" totalsRowShown="0">
  <x:tableColumns count="5">
    <x:tableColumn id="1" name="review_rows"/>
    <x:tableColumn id="2" name="distinct_cards"/>
    <x:tableColumn id="3" name="numeric_ratings"/>
    <x:tableColumn id="4" name="rating_coverage"/>
    <x:tableColumn id="5" name="global_mean_rat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gQueryRankingTable" displayName="BigQueryRankingTable" ref="A1:I60" headerRowCount="1" totalsRowCount="0" totalsRowShown="0">
  <x:tableColumns count="9">
    <x:tableColumn id="1" name="card_name"/>
    <x:tableColumn id="2" name="category"/>
    <x:tableColumn id="3" name="bank"/>
    <x:tableColumn id="4" name="total_reviews"/>
    <x:tableColumn id="5" name="numeric_ratings"/>
    <x:tableColumn id="6" name="average_rating"/>
    <x:tableColumn id="7" name="bayesian_score"/>
    <x:tableColumn id="8" name="eligible"/>
    <x:tableColumn id="9" name="eligible_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TermsTable" displayName="CurrentTermsTable" ref="A1:L6" headerRowCount="1" totalsRowCount="0" totalsRowShown="0">
  <x:tableColumns count="12">
    <x:tableColumn id="1" name="review_rank"/>
    <x:tableColumn id="2" name="reviewed_card"/>
    <x:tableColumn id="3" name="current_product"/>
    <x:tableColumn id="4" name="product_status"/>
    <x:tableColumn id="5" name="monthly_finance_charge"/>
    <x:tableColumn id="6" name="effective_annualized_rate"/>
    <x:tableColumn id="7" name="annual_fee_inr"/>
    <x:tableColumn id="8" name="fee_waiver_spend_inr"/>
    <x:tableColumn id="9" name="welcome_offer"/>
    <x:tableColumn id="10" name="rewards_summary"/>
    <x:tableColumn id="11" name="benefits_summary"/>
    <x:tableColumn id="12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LeadersTable" displayName="CategoryLeadersTable" ref="A1:D9" headerRowCount="1" totalsRowCount="0" totalsRowShown="0">
  <x:tableColumns count="4">
    <x:tableColumn id="1" name="display_order"/>
    <x:tableColumn id="2" name="category"/>
    <x:tableColumn id="3" name="leader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a827d3fe5648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fde18edc814d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859ddd7f2842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d354bff45c4c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095e20ba6742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18" hidden="0" customWidth="1"/>
    <x:col min="4" max="4" width="30" hidden="0" customWidth="1"/>
    <x:col min="5" max="5" width="27" hidden="0" customWidth="1"/>
    <x:col min="6" max="6" width="37" hidden="0" customWidth="1"/>
    <x:col min="7" max="7" width="16" hidden="0" customWidth="1"/>
    <x:col min="8" max="8" width="24" hidden="0" customWidth="1"/>
    <x:col min="9" max="9" width="24" hidden="0" customWidth="1"/>
    <x:col min="10" max="10" width="17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40" customHeight="1">
      <x:c r="A1" s="149" t="str">
        <x:v>Top Credit Cards: BigQuery Reviews, Costs &amp; Benefits</x:v>
      </x:c>
      <x:c r="B1" s="150" t="str">
        <x:v>Top Credit Cards: BigQuery Reviews, Costs &amp; Benefits</x:v>
      </x:c>
      <x:c r="C1" s="150" t="str">
        <x:v>Top Credit Cards: BigQuery Reviews, Costs &amp; Benefits</x:v>
      </x:c>
      <x:c r="D1" s="150" t="str">
        <x:v>Top Credit Cards: BigQuery Reviews, Costs &amp; Benefits</x:v>
      </x:c>
      <x:c r="E1" s="150" t="str">
        <x:v>Top Credit Cards: BigQuery Reviews, Costs &amp; Benefits</x:v>
      </x:c>
      <x:c r="F1" s="150" t="str">
        <x:v>Top Credit Cards: BigQuery Reviews, Costs &amp; Benefits</x:v>
      </x:c>
      <x:c r="G1" s="150" t="str">
        <x:v>Top Credit Cards: BigQuery Reviews, Costs &amp; Benefits</x:v>
      </x:c>
      <x:c r="H1" s="150" t="str">
        <x:v>Top Credit Cards: BigQuery Reviews, Costs &amp; Benefits</x:v>
      </x:c>
      <x:c r="I1" s="150" t="str">
        <x:v>Top Credit Cards: BigQuery Reviews, Costs &amp; Benefits</x:v>
      </x:c>
      <x:c r="J1" s="150" t="str">
        <x:v>Top Credit Cards: BigQuery Reviews, Costs &amp; Benefits</x:v>
      </x:c>
      <x:c r="K1" s="150" t="str">
        <x:v>Top Credit Cards: BigQuery Reviews, Costs &amp; Benefits</x:v>
      </x:c>
      <x:c r="L1" s="150" t="str">
        <x:v>Top Credit Cards: BigQuery Reviews, Costs &amp; Benefits</x:v>
      </x:c>
      <x:c r="M1" s="150" t="str">
        <x:v>Top Credit Cards: BigQuery Reviews, Costs &amp; Benefits</x:v>
      </x:c>
      <x:c r="N1" s="151" t="str">
        <x:v>Top Credit Cards: BigQuery Reviews, Costs &amp; Benefits</x:v>
      </x:c>
    </x:row>
    <x:row r="2" ht="32" customHeight="1">
      <x:c r="A2" s="152" t="str">
        <x:v>All analytical results are generated in Google BigQuery Standard SQL; the workbook presents linked outputs and charts.</x:v>
      </x:c>
      <x:c r="B2" s="153" t="str">
        <x:v>All analytical results are generated in Google BigQuery Standard SQL; the workbook presents linked outputs and charts.</x:v>
      </x:c>
      <x:c r="C2" s="153" t="str">
        <x:v>All analytical results are generated in Google BigQuery Standard SQL; the workbook presents linked outputs and charts.</x:v>
      </x:c>
      <x:c r="D2" s="153" t="str">
        <x:v>All analytical results are generated in Google BigQuery Standard SQL; the workbook presents linked outputs and charts.</x:v>
      </x:c>
      <x:c r="E2" s="153" t="str">
        <x:v>All analytical results are generated in Google BigQuery Standard SQL; the workbook presents linked outputs and charts.</x:v>
      </x:c>
      <x:c r="F2" s="153" t="str">
        <x:v>All analytical results are generated in Google BigQuery Standard SQL; the workbook presents linked outputs and charts.</x:v>
      </x:c>
      <x:c r="G2" s="153" t="str">
        <x:v>All analytical results are generated in Google BigQuery Standard SQL; the workbook presents linked outputs and charts.</x:v>
      </x:c>
      <x:c r="H2" s="153" t="str">
        <x:v>All analytical results are generated in Google BigQuery Standard SQL; the workbook presents linked outputs and charts.</x:v>
      </x:c>
      <x:c r="I2" s="153" t="str">
        <x:v>All analytical results are generated in Google BigQuery Standard SQL; the workbook presents linked outputs and charts.</x:v>
      </x:c>
      <x:c r="J2" s="153" t="str">
        <x:v>All analytical results are generated in Google BigQuery Standard SQL; the workbook presents linked outputs and charts.</x:v>
      </x:c>
      <x:c r="K2" s="153" t="str">
        <x:v>All analytical results are generated in Google BigQuery Standard SQL; the workbook presents linked outputs and charts.</x:v>
      </x:c>
      <x:c r="L2" s="153" t="str">
        <x:v>All analytical results are generated in Google BigQuery Standard SQL; the workbook presents linked outputs and charts.</x:v>
      </x:c>
      <x:c r="M2" s="153" t="str">
        <x:v>All analytical results are generated in Google BigQuery Standard SQL; the workbook presents linked outputs and charts.</x:v>
      </x:c>
      <x:c r="N2" s="154" t="str">
        <x:v>All analytical results are generated in Google BigQuery Standard SQL; the workbook presents linked outputs and charts.</x:v>
      </x:c>
    </x:row>
    <x:row r="3" ht="24" customHeight="1">
      <x:c r="A3" s="155"/>
      <x:c r="B3" s="156"/>
      <x:c r="C3" s="156"/>
      <x:c r="D3" s="156"/>
      <x:c r="E3" s="156"/>
      <x:c r="F3" s="156"/>
      <x:c r="G3" s="156"/>
      <x:c r="H3" s="156"/>
      <x:c r="I3" s="156"/>
      <x:c r="J3" s="156"/>
      <x:c r="K3" s="156"/>
      <x:c r="L3" s="156"/>
      <x:c r="M3" s="156"/>
      <x:c r="N3" s="157"/>
    </x:row>
    <x:row r="4" ht="24" customHeight="1">
      <x:c r="A4" s="158" t="str">
        <x:v>BigQuery KPI</x:v>
      </x:c>
      <x:c r="B4" s="159" t="str">
        <x:v>Result</x:v>
      </x:c>
      <x:c r="C4" s="156"/>
      <x:c r="D4" s="159" t="str">
        <x:v>Category</x:v>
      </x:c>
      <x:c r="E4" s="159" t="str">
        <x:v>Winner</x:v>
      </x:c>
      <x:c r="F4" s="159" t="str">
        <x:v>Reason</x:v>
      </x:c>
      <x:c r="G4" s="156"/>
      <x:c r="H4" s="159" t="str">
        <x:v>BigQuery validation</x:v>
      </x:c>
      <x:c r="I4" s="159" t="str">
        <x:v>Status</x:v>
      </x:c>
      <x:c r="J4" s="159" t="str">
        <x:v>Run date</x:v>
      </x:c>
      <x:c r="K4" s="156"/>
      <x:c r="L4" s="156"/>
      <x:c r="M4" s="156"/>
      <x:c r="N4" s="157"/>
    </x:row>
    <x:row r="5" ht="30" customHeight="1">
      <x:c r="A5" s="155" t="str">
        <x:v>Review rows</x:v>
      </x:c>
      <x:c r="B5" s="160" t="str">
        <x:f>'BigQuery Summary'!A2</x:f>
        <x:v>7513</x:v>
      </x:c>
      <x:c r="C5" s="156"/>
      <x:c r="D5" s="161" t="str">
        <x:f>'Category Leaders'!B2</x:f>
        <x:v>Highest review rating</x:v>
      </x:c>
      <x:c r="E5" s="161" t="str">
        <x:f>'Category Leaders'!C2</x:f>
        <x:v>Axis Bank My Zone</x:v>
      </x:c>
      <x:c r="F5" s="161" t="str">
        <x:f>'Category Leaders'!D2</x:f>
        <x:v>4.70 average from 20 numeric ratings</x:v>
      </x:c>
      <x:c r="G5" s="156"/>
      <x:c r="H5" s="162" t="str">
        <x:v>06_validate.sql</x:v>
      </x:c>
      <x:c r="I5" s="162" t="str">
        <x:v>PASS</x:v>
      </x:c>
      <x:c r="J5" s="162" t="str">
        <x:v>2026-08-15</x:v>
      </x:c>
      <x:c r="K5" s="156"/>
      <x:c r="L5" s="156"/>
      <x:c r="M5" s="156"/>
      <x:c r="N5" s="157"/>
    </x:row>
    <x:row r="6" ht="30" customHeight="1">
      <x:c r="A6" s="155" t="str">
        <x:v>Cards reviewed</x:v>
      </x:c>
      <x:c r="B6" s="160" t="str">
        <x:f>'BigQuery Summary'!B2</x:f>
        <x:v>59</x:v>
      </x:c>
      <x:c r="C6" s="156"/>
      <x:c r="D6" s="161" t="str">
        <x:f>'Category Leaders'!B3</x:f>
        <x:v>Most reviewed among the top five</x:v>
      </x:c>
      <x:c r="E6" s="161" t="str">
        <x:f>'Category Leaders'!C3</x:f>
        <x:v>SBI Card ELITE</x:v>
      </x:c>
      <x:c r="F6" s="161" t="str">
        <x:f>'Category Leaders'!D3</x:f>
        <x:v>124 review rows</x:v>
      </x:c>
      <x:c r="G6" s="156"/>
      <x:c r="H6" s="156"/>
      <x:c r="I6" s="156"/>
      <x:c r="J6" s="156"/>
      <x:c r="K6" s="156"/>
      <x:c r="L6" s="156"/>
      <x:c r="M6" s="156"/>
      <x:c r="N6" s="157"/>
    </x:row>
    <x:row r="7" ht="30" customHeight="1">
      <x:c r="A7" s="155" t="str">
        <x:v>Numeric ratings</x:v>
      </x:c>
      <x:c r="B7" s="160" t="str">
        <x:f>'BigQuery Summary'!C2</x:f>
        <x:v>1616</x:v>
      </x:c>
      <x:c r="C7" s="156"/>
      <x:c r="D7" s="161" t="str">
        <x:f>'Category Leaders'!B4</x:f>
        <x:v>Lowest borrowing cost</x:v>
      </x:c>
      <x:c r="E7" s="161" t="str">
        <x:f>'Category Leaders'!C4</x:f>
        <x:v>Five-way tie</x:v>
      </x:c>
      <x:c r="F7" s="161" t="str">
        <x:f>'Category Leaders'!D4</x:f>
        <x:v>Each current product lists a 3.75% monthly finance charge</x:v>
      </x:c>
      <x:c r="G7" s="156"/>
      <x:c r="H7" s="163" t="str">
        <x:v>Assertions passed: row count, card count, rating count, global mean, and exact top-five order.</x:v>
      </x:c>
      <x:c r="I7" s="163" t="str">
        <x:v>Assertions passed: row count, card count, rating count, global mean, and exact top-five order.</x:v>
      </x:c>
      <x:c r="J7" s="163" t="str">
        <x:v>Assertions passed: row count, card count, rating count, global mean, and exact top-five order.</x:v>
      </x:c>
      <x:c r="K7" s="156"/>
      <x:c r="L7" s="156"/>
      <x:c r="M7" s="156"/>
      <x:c r="N7" s="157"/>
    </x:row>
    <x:row r="8" ht="30" customHeight="1">
      <x:c r="A8" s="155" t="str">
        <x:v>Rating coverage</x:v>
      </x:c>
      <x:c r="B8" s="164" t="str">
        <x:f>'BigQuery Summary'!D2</x:f>
        <x:v>0.215094</x:v>
      </x:c>
      <x:c r="C8" s="156"/>
      <x:c r="D8" s="161" t="str">
        <x:f>'Category Leaders'!B5</x:f>
        <x:v>Best ongoing fee and waiver</x:v>
      </x:c>
      <x:c r="E8" s="161" t="str">
        <x:f>'Category Leaders'!C5</x:f>
        <x:v>ICICI Bank Coral</x:v>
      </x:c>
      <x:c r="F8" s="161" t="str">
        <x:f>'Category Leaders'!D5</x:f>
        <x:v>₹500 annual fee, waived at ₹1.5 lakh annual spend</x:v>
      </x:c>
      <x:c r="G8" s="156"/>
      <x:c r="H8" s="163" t="str">
        <x:v>Assertions passed: row count, card count, rating count, global mean, and exact top-five order.</x:v>
      </x:c>
      <x:c r="I8" s="163" t="str">
        <x:v>Assertions passed: row count, card count, rating count, global mean, and exact top-five order.</x:v>
      </x:c>
      <x:c r="J8" s="163" t="str">
        <x:v>Assertions passed: row count, card count, rating count, global mean, and exact top-five order.</x:v>
      </x:c>
      <x:c r="K8" s="156"/>
      <x:c r="L8" s="156"/>
      <x:c r="M8" s="156"/>
      <x:c r="N8" s="157"/>
    </x:row>
    <x:row r="9" ht="30" customHeight="1">
      <x:c r="A9" s="155" t="str">
        <x:v>Global mean rating</x:v>
      </x:c>
      <x:c r="B9" s="165" t="str">
        <x:f>'BigQuery Summary'!E2</x:f>
        <x:v>3.237005</x:v>
      </x:c>
      <x:c r="C9" s="156"/>
      <x:c r="D9" s="161" t="str">
        <x:f>'Category Leaders'!B6</x:f>
        <x:v>Best welcome offer</x:v>
      </x:c>
      <x:c r="E9" s="161" t="str">
        <x:f>'Category Leaders'!C6</x:f>
        <x:v>SBI Card ELITE</x:v>
      </x:c>
      <x:c r="F9" s="161" t="str">
        <x:f>'Category Leaders'!D6</x:f>
        <x:v>₹5,000 e-gift voucher</x:v>
      </x:c>
      <x:c r="G9" s="156"/>
      <x:c r="H9" s="163" t="str">
        <x:v>Assertions passed: row count, card count, rating count, global mean, and exact top-five order.</x:v>
      </x:c>
      <x:c r="I9" s="163" t="str">
        <x:v>Assertions passed: row count, card count, rating count, global mean, and exact top-five order.</x:v>
      </x:c>
      <x:c r="J9" s="163" t="str">
        <x:v>Assertions passed: row count, card count, rating count, global mean, and exact top-five order.</x:v>
      </x:c>
      <x:c r="K9" s="156"/>
      <x:c r="L9" s="156"/>
      <x:c r="M9" s="156"/>
      <x:c r="N9" s="157"/>
    </x:row>
    <x:row r="10" ht="30" customHeight="1">
      <x:c r="A10" s="155"/>
      <x:c r="B10" s="156"/>
      <x:c r="C10" s="156"/>
      <x:c r="D10" s="161" t="str">
        <x:f>'Category Leaders'!B7</x:f>
        <x:v>Best shopping rewards</x:v>
      </x:c>
      <x:c r="E10" s="161" t="str">
        <x:f>'Category Leaders'!C7</x:f>
        <x:v>Flipkart Axis Bank</x:v>
      </x:c>
      <x:c r="F10" s="161" t="str">
        <x:f>'Category Leaders'!D7</x:f>
        <x:v>Strong explicit partner cashback rates</x:v>
      </x:c>
      <x:c r="G10" s="156"/>
      <x:c r="H10" s="156"/>
      <x:c r="I10" s="156"/>
      <x:c r="J10" s="156"/>
      <x:c r="K10" s="156"/>
      <x:c r="L10" s="156"/>
      <x:c r="M10" s="156"/>
      <x:c r="N10" s="157"/>
    </x:row>
    <x:row r="11" ht="30" customHeight="1">
      <x:c r="A11" s="155"/>
      <x:c r="B11" s="156"/>
      <x:c r="C11" s="156"/>
      <x:c r="D11" s="161" t="str">
        <x:f>'Category Leaders'!B8</x:f>
        <x:v>Broadest lifestyle benefits</x:v>
      </x:c>
      <x:c r="E11" s="161" t="str">
        <x:f>'Category Leaders'!C8</x:f>
        <x:v>SBI Card ELITE</x:v>
      </x:c>
      <x:c r="F11" s="161" t="str">
        <x:f>'Category Leaders'!D8</x:f>
        <x:v>Welcome voucher, movies, accelerated rewards, and milestones</x:v>
      </x:c>
      <x:c r="G11" s="156"/>
      <x:c r="H11" s="156"/>
      <x:c r="I11" s="156"/>
      <x:c r="J11" s="156"/>
      <x:c r="K11" s="156"/>
      <x:c r="L11" s="156"/>
      <x:c r="M11" s="156"/>
      <x:c r="N11" s="157"/>
    </x:row>
    <x:row r="12" ht="30" customHeight="1">
      <x:c r="A12" s="155"/>
      <x:c r="B12" s="156"/>
      <x:c r="C12" s="156"/>
      <x:c r="D12" s="161" t="str">
        <x:f>'Category Leaders'!B9</x:f>
        <x:v>Best travel package</x:v>
      </x:c>
      <x:c r="E12" s="161" t="str">
        <x:f>'Category Leaders'!C9</x:f>
        <x:v>Axis Bank Horizon</x:v>
      </x:c>
      <x:c r="F12" s="161" t="str">
        <x:f>'Category Leaders'!D9</x:f>
        <x:v>Travel miles and lounge access; successor caveat applies</x:v>
      </x:c>
      <x:c r="G12" s="156"/>
      <x:c r="H12" s="156"/>
      <x:c r="I12" s="156"/>
      <x:c r="J12" s="156"/>
      <x:c r="K12" s="156"/>
      <x:c r="L12" s="156"/>
      <x:c r="M12" s="156"/>
      <x:c r="N12" s="157"/>
    </x:row>
    <x:row r="13" ht="24" customHeight="1">
      <x:c r="A13" s="155"/>
      <x:c r="B13" s="156"/>
      <x:c r="C13" s="156"/>
      <x:c r="D13" s="156"/>
      <x:c r="E13" s="156"/>
      <x:c r="F13" s="156"/>
      <x:c r="G13" s="156"/>
      <x:c r="H13" s="156"/>
      <x:c r="I13" s="156"/>
      <x:c r="J13" s="156"/>
      <x:c r="K13" s="156"/>
      <x:c r="L13" s="156"/>
      <x:c r="M13" s="156"/>
      <x:c r="N13" s="157"/>
    </x:row>
    <x:row r="14" ht="24" customHeight="1">
      <x:c r="A14" s="158" t="str">
        <x:v>Card</x:v>
      </x:c>
      <x:c r="B14" s="159" t="str">
        <x:v>Average rating</x:v>
      </x:c>
      <x:c r="C14" s="159" t="str">
        <x:v>Total reviews</x:v>
      </x:c>
      <x:c r="D14" s="156"/>
      <x:c r="E14" s="159" t="str">
        <x:v>Card</x:v>
      </x:c>
      <x:c r="F14" s="159" t="str">
        <x:v>Annual fee (₹)</x:v>
      </x:c>
      <x:c r="G14" s="159" t="str">
        <x:v>Welcome value (₹)</x:v>
      </x:c>
      <x:c r="H14" s="156"/>
      <x:c r="I14" s="159" t="str">
        <x:v>Card</x:v>
      </x:c>
      <x:c r="J14" s="159" t="str">
        <x:v>Total reviews</x:v>
      </x:c>
      <x:c r="K14" s="156"/>
      <x:c r="L14" s="156"/>
      <x:c r="M14" s="156"/>
      <x:c r="N14" s="157"/>
    </x:row>
    <x:row r="15" ht="24" customHeight="1">
      <x:c r="A15" s="166" t="str">
        <x:f>'Current Terms'!C2</x:f>
        <x:v>Axis Bank My Zone</x:v>
      </x:c>
      <x:c r="B15" s="167" t="str">
        <x:f>'BigQuery Ranking'!F2</x:f>
        <x:v>4.7</x:v>
      </x:c>
      <x:c r="C15" s="160" t="str">
        <x:f>'BigQuery Ranking'!D2</x:f>
        <x:v>75</x:v>
      </x:c>
      <x:c r="D15" s="156"/>
      <x:c r="E15" s="168" t="str">
        <x:f>'Current Terms'!C2</x:f>
        <x:v>Axis Bank My Zone</x:v>
      </x:c>
      <x:c r="F15" s="169" t="str">
        <x:f>'Current Terms'!G2</x:f>
        <x:v>500</x:v>
      </x:c>
      <x:c r="G15" s="170" t="n">
        <x:v>1499</x:v>
      </x:c>
      <x:c r="H15" s="156"/>
      <x:c r="I15" s="168" t="str">
        <x:f>'Current Terms'!C2</x:f>
        <x:v>Axis Bank My Zone</x:v>
      </x:c>
      <x:c r="J15" s="160" t="str">
        <x:f>'BigQuery Ranking'!D2</x:f>
        <x:v>75</x:v>
      </x:c>
      <x:c r="K15" s="156"/>
      <x:c r="L15" s="156"/>
      <x:c r="M15" s="156"/>
      <x:c r="N15" s="157"/>
    </x:row>
    <x:row r="16" ht="24" customHeight="1">
      <x:c r="A16" s="166" t="str">
        <x:f>'Current Terms'!C3</x:f>
        <x:v>ICICI Bank Coral</x:v>
      </x:c>
      <x:c r="B16" s="167" t="str">
        <x:f>'BigQuery Ranking'!F3</x:f>
        <x:v>4.525</x:v>
      </x:c>
      <x:c r="C16" s="160" t="str">
        <x:f>'BigQuery Ranking'!D3</x:f>
        <x:v>20</x:v>
      </x:c>
      <x:c r="D16" s="156"/>
      <x:c r="E16" s="168" t="str">
        <x:f>'Current Terms'!C3</x:f>
        <x:v>ICICI Bank Coral</x:v>
      </x:c>
      <x:c r="F16" s="169" t="str">
        <x:f>'Current Terms'!G3</x:f>
        <x:v>500</x:v>
      </x:c>
      <x:c r="G16" s="170" t="n">
        <x:v>0</x:v>
      </x:c>
      <x:c r="H16" s="156"/>
      <x:c r="I16" s="168" t="str">
        <x:f>'Current Terms'!C3</x:f>
        <x:v>ICICI Bank Coral</x:v>
      </x:c>
      <x:c r="J16" s="160" t="str">
        <x:f>'BigQuery Ranking'!D3</x:f>
        <x:v>20</x:v>
      </x:c>
      <x:c r="K16" s="156"/>
      <x:c r="L16" s="156"/>
      <x:c r="M16" s="156"/>
      <x:c r="N16" s="157"/>
    </x:row>
    <x:row r="17" ht="24" customHeight="1">
      <x:c r="A17" s="166" t="str">
        <x:f>'Current Terms'!C4</x:f>
        <x:v>SBI Card ELITE</x:v>
      </x:c>
      <x:c r="B17" s="167" t="str">
        <x:f>'BigQuery Ranking'!F4</x:f>
        <x:v>4.5</x:v>
      </x:c>
      <x:c r="C17" s="160" t="str">
        <x:f>'BigQuery Ranking'!D4</x:f>
        <x:v>124</x:v>
      </x:c>
      <x:c r="D17" s="156"/>
      <x:c r="E17" s="168" t="str">
        <x:f>'Current Terms'!C4</x:f>
        <x:v>SBI Card ELITE</x:v>
      </x:c>
      <x:c r="F17" s="169" t="str">
        <x:f>'Current Terms'!G4</x:f>
        <x:v>4999</x:v>
      </x:c>
      <x:c r="G17" s="170" t="n">
        <x:v>5000</x:v>
      </x:c>
      <x:c r="H17" s="156"/>
      <x:c r="I17" s="168" t="str">
        <x:f>'Current Terms'!C4</x:f>
        <x:v>SBI Card ELITE</x:v>
      </x:c>
      <x:c r="J17" s="160" t="str">
        <x:f>'BigQuery Ranking'!D4</x:f>
        <x:v>124</x:v>
      </x:c>
      <x:c r="K17" s="156"/>
      <x:c r="L17" s="156"/>
      <x:c r="M17" s="156"/>
      <x:c r="N17" s="157"/>
    </x:row>
    <x:row r="18" ht="24" customHeight="1">
      <x:c r="A18" s="166" t="str">
        <x:f>'Current Terms'!C5</x:f>
        <x:v>Axis Bank Horizon</x:v>
      </x:c>
      <x:c r="B18" s="167" t="str">
        <x:f>'BigQuery Ranking'!F5</x:f>
        <x:v>4.45</x:v>
      </x:c>
      <x:c r="C18" s="160" t="str">
        <x:f>'BigQuery Ranking'!D5</x:f>
        <x:v>20</x:v>
      </x:c>
      <x:c r="D18" s="156"/>
      <x:c r="E18" s="168" t="str">
        <x:f>'Current Terms'!C5</x:f>
        <x:v>Axis Bank Horizon</x:v>
      </x:c>
      <x:c r="F18" s="169" t="str">
        <x:f>'Current Terms'!G5</x:f>
        <x:v>3000</x:v>
      </x:c>
      <x:c r="G18" s="170" t="n">
        <x:v>5000</x:v>
      </x:c>
      <x:c r="H18" s="156"/>
      <x:c r="I18" s="168" t="str">
        <x:f>'Current Terms'!C5</x:f>
        <x:v>Axis Bank Horizon</x:v>
      </x:c>
      <x:c r="J18" s="160" t="str">
        <x:f>'BigQuery Ranking'!D5</x:f>
        <x:v>20</x:v>
      </x:c>
      <x:c r="K18" s="156"/>
      <x:c r="L18" s="156"/>
      <x:c r="M18" s="156"/>
      <x:c r="N18" s="157"/>
    </x:row>
    <x:row r="19" ht="24" customHeight="1">
      <x:c r="A19" s="166" t="str">
        <x:f>'Current Terms'!C6</x:f>
        <x:v>Flipkart Axis Bank</x:v>
      </x:c>
      <x:c r="B19" s="167" t="str">
        <x:f>'BigQuery Ranking'!F6</x:f>
        <x:v>4.425</x:v>
      </x:c>
      <x:c r="C19" s="160" t="str">
        <x:f>'BigQuery Ranking'!D6</x:f>
        <x:v>85</x:v>
      </x:c>
      <x:c r="D19" s="156"/>
      <x:c r="E19" s="168" t="str">
        <x:f>'Current Terms'!C6</x:f>
        <x:v>Flipkart Axis Bank</x:v>
      </x:c>
      <x:c r="F19" s="169" t="str">
        <x:f>'Current Terms'!G6</x:f>
        <x:v>500</x:v>
      </x:c>
      <x:c r="G19" s="170" t="n">
        <x:v>100</x:v>
      </x:c>
      <x:c r="H19" s="156"/>
      <x:c r="I19" s="168" t="str">
        <x:f>'Current Terms'!C6</x:f>
        <x:v>Flipkart Axis Bank</x:v>
      </x:c>
      <x:c r="J19" s="160" t="str">
        <x:f>'BigQuery Ranking'!D6</x:f>
        <x:v>85</x:v>
      </x:c>
      <x:c r="K19" s="156"/>
      <x:c r="L19" s="156"/>
      <x:c r="M19" s="156"/>
      <x:c r="N19" s="157"/>
    </x:row>
    <x:row r="20" ht="24" customHeight="1">
      <x:c r="A20" s="155"/>
      <x:c r="B20" s="156"/>
      <x:c r="C20" s="156"/>
      <x:c r="D20" s="156"/>
      <x:c r="E20" s="156"/>
      <x:c r="F20" s="156"/>
      <x:c r="G20" s="156"/>
      <x:c r="H20" s="156"/>
      <x:c r="I20" s="156"/>
      <x:c r="J20" s="156"/>
      <x:c r="K20" s="156"/>
      <x:c r="L20" s="156"/>
      <x:c r="M20" s="156"/>
      <x:c r="N20" s="157"/>
    </x:row>
    <x:row r="21" ht="24" customHeight="1">
      <x:c r="A21" s="155"/>
      <x:c r="B21" s="156"/>
      <x:c r="C21" s="156"/>
      <x:c r="D21" s="156"/>
      <x:c r="E21" s="156"/>
      <x:c r="F21" s="156"/>
      <x:c r="G21" s="156"/>
      <x:c r="H21" s="156"/>
      <x:c r="I21" s="156"/>
      <x:c r="J21" s="156"/>
      <x:c r="K21" s="156"/>
      <x:c r="L21" s="156"/>
      <x:c r="M21" s="156"/>
      <x:c r="N21" s="157"/>
    </x:row>
    <x:row r="22" ht="24" customHeight="1">
      <x:c r="A22" s="155"/>
      <x:c r="B22" s="156"/>
      <x:c r="C22" s="156"/>
      <x:c r="D22" s="156"/>
      <x:c r="E22" s="156"/>
      <x:c r="F22" s="156"/>
      <x:c r="G22" s="156"/>
      <x:c r="H22" s="156"/>
      <x:c r="I22" s="156"/>
      <x:c r="J22" s="156"/>
      <x:c r="K22" s="156"/>
      <x:c r="L22" s="156"/>
      <x:c r="M22" s="156"/>
      <x:c r="N22" s="157"/>
    </x:row>
    <x:row r="23" ht="24" customHeight="1">
      <x:c r="A23" s="155"/>
      <x:c r="B23" s="156"/>
      <x:c r="C23" s="156"/>
      <x:c r="D23" s="156"/>
      <x:c r="E23" s="156"/>
      <x:c r="F23" s="156"/>
      <x:c r="G23" s="156"/>
      <x:c r="H23" s="156"/>
      <x:c r="I23" s="156"/>
      <x:c r="J23" s="156"/>
      <x:c r="K23" s="156"/>
      <x:c r="L23" s="156"/>
      <x:c r="M23" s="156"/>
      <x:c r="N23" s="157"/>
    </x:row>
    <x:row r="24" ht="24" customHeight="1">
      <x:c r="A24" s="155"/>
      <x:c r="B24" s="156"/>
      <x:c r="C24" s="156"/>
      <x:c r="D24" s="156"/>
      <x:c r="E24" s="156"/>
      <x:c r="F24" s="156"/>
      <x:c r="G24" s="156"/>
      <x:c r="H24" s="156"/>
      <x:c r="I24" s="156"/>
      <x:c r="J24" s="156"/>
      <x:c r="K24" s="156"/>
      <x:c r="L24" s="156"/>
      <x:c r="M24" s="156"/>
      <x:c r="N24" s="157"/>
    </x:row>
    <x:row r="25" ht="24" customHeight="1">
      <x:c r="A25" s="155"/>
      <x:c r="B25" s="156"/>
      <x:c r="C25" s="156"/>
      <x:c r="D25" s="156"/>
      <x:c r="E25" s="156"/>
      <x:c r="F25" s="156"/>
      <x:c r="G25" s="156"/>
      <x:c r="H25" s="156"/>
      <x:c r="I25" s="156"/>
      <x:c r="J25" s="156"/>
      <x:c r="K25" s="156"/>
      <x:c r="L25" s="156"/>
      <x:c r="M25" s="156"/>
      <x:c r="N25" s="157"/>
    </x:row>
    <x:row r="26" ht="24" customHeight="1">
      <x:c r="A26" s="155"/>
      <x:c r="B26" s="156"/>
      <x:c r="C26" s="156"/>
      <x:c r="D26" s="156"/>
      <x:c r="E26" s="156"/>
      <x:c r="F26" s="156"/>
      <x:c r="G26" s="156"/>
      <x:c r="H26" s="156"/>
      <x:c r="I26" s="156"/>
      <x:c r="J26" s="156"/>
      <x:c r="K26" s="156"/>
      <x:c r="L26" s="156"/>
      <x:c r="M26" s="156"/>
      <x:c r="N26" s="157"/>
    </x:row>
    <x:row r="27" ht="24" customHeight="1">
      <x:c r="A27" s="155"/>
      <x:c r="B27" s="156"/>
      <x:c r="C27" s="156"/>
      <x:c r="D27" s="156"/>
      <x:c r="E27" s="156"/>
      <x:c r="F27" s="156"/>
      <x:c r="G27" s="156"/>
      <x:c r="H27" s="156"/>
      <x:c r="I27" s="156"/>
      <x:c r="J27" s="156"/>
      <x:c r="K27" s="156"/>
      <x:c r="L27" s="156"/>
      <x:c r="M27" s="156"/>
      <x:c r="N27" s="157"/>
    </x:row>
    <x:row r="28" ht="24" customHeight="1">
      <x:c r="A28" s="155"/>
      <x:c r="B28" s="156"/>
      <x:c r="C28" s="156"/>
      <x:c r="D28" s="156"/>
      <x:c r="E28" s="156"/>
      <x:c r="F28" s="156"/>
      <x:c r="G28" s="156"/>
      <x:c r="H28" s="156"/>
      <x:c r="I28" s="156"/>
      <x:c r="J28" s="156"/>
      <x:c r="K28" s="156"/>
      <x:c r="L28" s="156"/>
      <x:c r="M28" s="156"/>
      <x:c r="N28" s="157"/>
    </x:row>
    <x:row r="29" ht="24" customHeight="1">
      <x:c r="A29" s="155"/>
      <x:c r="B29" s="156"/>
      <x:c r="C29" s="156"/>
      <x:c r="D29" s="156"/>
      <x:c r="E29" s="156"/>
      <x:c r="F29" s="156"/>
      <x:c r="G29" s="156"/>
      <x:c r="H29" s="156"/>
      <x:c r="I29" s="156"/>
      <x:c r="J29" s="156"/>
      <x:c r="K29" s="156"/>
      <x:c r="L29" s="156"/>
      <x:c r="M29" s="156"/>
      <x:c r="N29" s="157"/>
    </x:row>
    <x:row r="30" ht="24" customHeight="1">
      <x:c r="A30" s="155"/>
      <x:c r="B30" s="156"/>
      <x:c r="C30" s="156"/>
      <x:c r="D30" s="156"/>
      <x:c r="E30" s="156"/>
      <x:c r="F30" s="156"/>
      <x:c r="G30" s="156"/>
      <x:c r="H30" s="156"/>
      <x:c r="I30" s="156"/>
      <x:c r="J30" s="156"/>
      <x:c r="K30" s="156"/>
      <x:c r="L30" s="156"/>
      <x:c r="M30" s="156"/>
      <x:c r="N30" s="157"/>
    </x:row>
    <x:row r="31" ht="24" customHeight="1">
      <x:c r="A31" s="155"/>
      <x:c r="B31" s="156"/>
      <x:c r="C31" s="156"/>
      <x:c r="D31" s="156"/>
      <x:c r="E31" s="156"/>
      <x:c r="F31" s="156"/>
      <x:c r="G31" s="156"/>
      <x:c r="H31" s="156"/>
      <x:c r="I31" s="156"/>
      <x:c r="J31" s="156"/>
      <x:c r="K31" s="156"/>
      <x:c r="L31" s="156"/>
      <x:c r="M31" s="156"/>
      <x:c r="N31" s="157"/>
    </x:row>
    <x:row r="32" ht="24" customHeight="1">
      <x:c r="A32" s="155"/>
      <x:c r="B32" s="156"/>
      <x:c r="C32" s="156"/>
      <x:c r="D32" s="156"/>
      <x:c r="E32" s="156"/>
      <x:c r="F32" s="156"/>
      <x:c r="G32" s="156"/>
      <x:c r="H32" s="156"/>
      <x:c r="I32" s="156"/>
      <x:c r="J32" s="156"/>
      <x:c r="K32" s="156"/>
      <x:c r="L32" s="156"/>
      <x:c r="M32" s="156"/>
      <x:c r="N32" s="157"/>
    </x:row>
    <x:row r="33" ht="24" customHeight="1">
      <x:c r="A33" s="155"/>
      <x:c r="B33" s="156"/>
      <x:c r="C33" s="156"/>
      <x:c r="D33" s="156"/>
      <x:c r="E33" s="156"/>
      <x:c r="F33" s="156"/>
      <x:c r="G33" s="156"/>
      <x:c r="H33" s="156"/>
      <x:c r="I33" s="156"/>
      <x:c r="J33" s="156"/>
      <x:c r="K33" s="156"/>
      <x:c r="L33" s="156"/>
      <x:c r="M33" s="156"/>
      <x:c r="N33" s="157"/>
    </x:row>
    <x:row r="34" ht="24" customHeight="1">
      <x:c r="A34" s="155"/>
      <x:c r="B34" s="156"/>
      <x:c r="C34" s="156"/>
      <x:c r="D34" s="156"/>
      <x:c r="E34" s="156"/>
      <x:c r="F34" s="156"/>
      <x:c r="G34" s="156"/>
      <x:c r="H34" s="156"/>
      <x:c r="I34" s="156"/>
      <x:c r="J34" s="156"/>
      <x:c r="K34" s="156"/>
      <x:c r="L34" s="156"/>
      <x:c r="M34" s="156"/>
      <x:c r="N34" s="157"/>
    </x:row>
    <x:row r="35" ht="24" customHeight="1">
      <x:c r="A35" s="155"/>
      <x:c r="B35" s="156"/>
      <x:c r="C35" s="156"/>
      <x:c r="D35" s="156"/>
      <x:c r="E35" s="156"/>
      <x:c r="F35" s="156"/>
      <x:c r="G35" s="156"/>
      <x:c r="H35" s="156"/>
      <x:c r="I35" s="156"/>
      <x:c r="J35" s="156"/>
      <x:c r="K35" s="156"/>
      <x:c r="L35" s="156"/>
      <x:c r="M35" s="156"/>
      <x:c r="N35" s="157"/>
    </x:row>
    <x:row r="36" ht="24" customHeight="1">
      <x:c r="A36" s="155"/>
      <x:c r="B36" s="156"/>
      <x:c r="C36" s="156"/>
      <x:c r="D36" s="156"/>
      <x:c r="E36" s="156"/>
      <x:c r="F36" s="156"/>
      <x:c r="G36" s="156"/>
      <x:c r="H36" s="156"/>
      <x:c r="I36" s="156"/>
      <x:c r="J36" s="156"/>
      <x:c r="K36" s="156"/>
      <x:c r="L36" s="156"/>
      <x:c r="M36" s="156"/>
      <x:c r="N36" s="157"/>
    </x:row>
    <x:row r="37" ht="24" customHeight="1">
      <x:c r="A37" s="155"/>
      <x:c r="B37" s="156"/>
      <x:c r="C37" s="156"/>
      <x:c r="D37" s="156"/>
      <x:c r="E37" s="156"/>
      <x:c r="F37" s="156"/>
      <x:c r="G37" s="156"/>
      <x:c r="H37" s="156"/>
      <x:c r="I37" s="156"/>
      <x:c r="J37" s="156"/>
      <x:c r="K37" s="156"/>
      <x:c r="L37" s="156"/>
      <x:c r="M37" s="156"/>
      <x:c r="N37" s="157"/>
    </x:row>
    <x:row r="38" ht="24" customHeight="1">
      <x:c r="A38" s="155"/>
      <x:c r="B38" s="156"/>
      <x:c r="C38" s="156"/>
      <x:c r="D38" s="156"/>
      <x:c r="E38" s="156"/>
      <x:c r="F38" s="156"/>
      <x:c r="G38" s="156"/>
      <x:c r="H38" s="156"/>
      <x:c r="I38" s="156"/>
      <x:c r="J38" s="156"/>
      <x:c r="K38" s="156"/>
      <x:c r="L38" s="156"/>
      <x:c r="M38" s="156"/>
      <x:c r="N38" s="157"/>
    </x:row>
    <x:row r="39" ht="24" customHeight="1">
      <x:c r="A39" s="155"/>
      <x:c r="B39" s="156"/>
      <x:c r="C39" s="156"/>
      <x:c r="D39" s="156"/>
      <x:c r="E39" s="156"/>
      <x:c r="F39" s="156"/>
      <x:c r="G39" s="156"/>
      <x:c r="H39" s="156"/>
      <x:c r="I39" s="156"/>
      <x:c r="J39" s="156"/>
      <x:c r="K39" s="156"/>
      <x:c r="L39" s="156"/>
      <x:c r="M39" s="156"/>
      <x:c r="N39" s="157"/>
    </x:row>
    <x:row r="40" ht="24" customHeight="1">
      <x:c r="A40" s="155"/>
      <x:c r="B40" s="156"/>
      <x:c r="C40" s="156"/>
      <x:c r="D40" s="156"/>
      <x:c r="E40" s="156"/>
      <x:c r="F40" s="156"/>
      <x:c r="G40" s="156"/>
      <x:c r="H40" s="156"/>
      <x:c r="I40" s="156"/>
      <x:c r="J40" s="156"/>
      <x:c r="K40" s="156"/>
      <x:c r="L40" s="156"/>
      <x:c r="M40" s="156"/>
      <x:c r="N40" s="157"/>
    </x:row>
    <x:row r="41" ht="24" customHeight="1">
      <x:c r="A41" s="155"/>
      <x:c r="B41" s="156"/>
      <x:c r="C41" s="156"/>
      <x:c r="D41" s="156"/>
      <x:c r="E41" s="156"/>
      <x:c r="F41" s="156"/>
      <x:c r="G41" s="156"/>
      <x:c r="H41" s="156"/>
      <x:c r="I41" s="156"/>
      <x:c r="J41" s="156"/>
      <x:c r="K41" s="156"/>
      <x:c r="L41" s="156"/>
      <x:c r="M41" s="156"/>
      <x:c r="N41" s="157"/>
    </x:row>
    <x:row r="42" ht="24" customHeight="1">
      <x:c r="A42" s="155"/>
      <x:c r="B42" s="156"/>
      <x:c r="C42" s="156"/>
      <x:c r="D42" s="156"/>
      <x:c r="E42" s="156"/>
      <x:c r="F42" s="156"/>
      <x:c r="G42" s="156"/>
      <x:c r="H42" s="156"/>
      <x:c r="I42" s="156"/>
      <x:c r="J42" s="156"/>
      <x:c r="K42" s="156"/>
      <x:c r="L42" s="156"/>
      <x:c r="M42" s="156"/>
      <x:c r="N42" s="157"/>
    </x:row>
    <x:row r="43" ht="24" customHeight="1">
      <x:c r="A43" s="155"/>
      <x:c r="B43" s="156"/>
      <x:c r="C43" s="156"/>
      <x:c r="D43" s="156"/>
      <x:c r="E43" s="156"/>
      <x:c r="F43" s="156"/>
      <x:c r="G43" s="156"/>
      <x:c r="H43" s="156"/>
      <x:c r="I43" s="156"/>
      <x:c r="J43" s="156"/>
      <x:c r="K43" s="156"/>
      <x:c r="L43" s="156"/>
      <x:c r="M43" s="156"/>
      <x:c r="N43" s="157"/>
    </x:row>
    <x:row r="44" ht="24" customHeight="1">
      <x:c r="A44" s="155"/>
      <x:c r="B44" s="156"/>
      <x:c r="C44" s="156"/>
      <x:c r="D44" s="156"/>
      <x:c r="E44" s="156"/>
      <x:c r="F44" s="156"/>
      <x:c r="G44" s="156"/>
      <x:c r="H44" s="156"/>
      <x:c r="I44" s="156"/>
      <x:c r="J44" s="156"/>
      <x:c r="K44" s="156"/>
      <x:c r="L44" s="156"/>
      <x:c r="M44" s="156"/>
      <x:c r="N44" s="157"/>
    </x:row>
    <x:row r="45" ht="24" customHeight="1">
      <x:c r="A45" s="155"/>
      <x:c r="B45" s="156"/>
      <x:c r="C45" s="156"/>
      <x:c r="D45" s="156"/>
      <x:c r="E45" s="156"/>
      <x:c r="F45" s="156"/>
      <x:c r="G45" s="156"/>
      <x:c r="H45" s="156"/>
      <x:c r="I45" s="156"/>
      <x:c r="J45" s="156"/>
      <x:c r="K45" s="156"/>
      <x:c r="L45" s="156"/>
      <x:c r="M45" s="156"/>
      <x:c r="N45" s="157"/>
    </x:row>
    <x:row r="46" ht="24" customHeight="1">
      <x:c r="A46" s="155"/>
      <x:c r="B46" s="156"/>
      <x:c r="C46" s="156"/>
      <x:c r="D46" s="156"/>
      <x:c r="E46" s="156"/>
      <x:c r="F46" s="156"/>
      <x:c r="G46" s="156"/>
      <x:c r="H46" s="156"/>
      <x:c r="I46" s="156"/>
      <x:c r="J46" s="156"/>
      <x:c r="K46" s="156"/>
      <x:c r="L46" s="156"/>
      <x:c r="M46" s="156"/>
      <x:c r="N46" s="157"/>
    </x:row>
    <x:row r="47" ht="24" customHeight="1">
      <x:c r="A47" s="155"/>
      <x:c r="B47" s="156"/>
      <x:c r="C47" s="156"/>
      <x:c r="D47" s="156"/>
      <x:c r="E47" s="156"/>
      <x:c r="F47" s="156"/>
      <x:c r="G47" s="156"/>
      <x:c r="H47" s="156"/>
      <x:c r="I47" s="156"/>
      <x:c r="J47" s="156"/>
      <x:c r="K47" s="156"/>
      <x:c r="L47" s="156"/>
      <x:c r="M47" s="156"/>
      <x:c r="N47" s="157"/>
    </x:row>
    <x:row r="48" ht="24" customHeight="1">
      <x:c r="A48" s="155"/>
      <x:c r="B48" s="156"/>
      <x:c r="C48" s="156"/>
      <x:c r="D48" s="156"/>
      <x:c r="E48" s="156"/>
      <x:c r="F48" s="156"/>
      <x:c r="G48" s="156"/>
      <x:c r="H48" s="156"/>
      <x:c r="I48" s="156"/>
      <x:c r="J48" s="156"/>
      <x:c r="K48" s="156"/>
      <x:c r="L48" s="156"/>
      <x:c r="M48" s="156"/>
      <x:c r="N48" s="157"/>
    </x:row>
    <x:row r="49" ht="24" customHeight="1">
      <x:c r="A49" s="155"/>
      <x:c r="B49" s="156"/>
      <x:c r="C49" s="156"/>
      <x:c r="D49" s="156"/>
      <x:c r="E49" s="156"/>
      <x:c r="F49" s="156"/>
      <x:c r="G49" s="156"/>
      <x:c r="H49" s="156"/>
      <x:c r="I49" s="156"/>
      <x:c r="J49" s="156"/>
      <x:c r="K49" s="156"/>
      <x:c r="L49" s="156"/>
      <x:c r="M49" s="156"/>
      <x:c r="N49" s="157"/>
    </x:row>
    <x:row r="50" ht="24" customHeight="1">
      <x:c r="A50" s="155"/>
      <x:c r="B50" s="156"/>
      <x:c r="C50" s="156"/>
      <x:c r="D50" s="156"/>
      <x:c r="E50" s="156"/>
      <x:c r="F50" s="156"/>
      <x:c r="G50" s="156"/>
      <x:c r="H50" s="156"/>
      <x:c r="I50" s="156"/>
      <x:c r="J50" s="156"/>
      <x:c r="K50" s="156"/>
      <x:c r="L50" s="156"/>
      <x:c r="M50" s="156"/>
      <x:c r="N50" s="157"/>
    </x:row>
    <x:row r="51" ht="24" customHeight="1">
      <x:c r="A51" s="155"/>
      <x:c r="B51" s="156"/>
      <x:c r="C51" s="156"/>
      <x:c r="D51" s="156"/>
      <x:c r="E51" s="156"/>
      <x:c r="F51" s="156"/>
      <x:c r="G51" s="156"/>
      <x:c r="H51" s="156"/>
      <x:c r="I51" s="156"/>
      <x:c r="J51" s="156"/>
      <x:c r="K51" s="156"/>
      <x:c r="L51" s="156"/>
      <x:c r="M51" s="156"/>
      <x:c r="N51" s="157"/>
    </x:row>
    <x:row r="52" ht="24" customHeight="1">
      <x:c r="A52" s="155"/>
      <x:c r="B52" s="156"/>
      <x:c r="C52" s="156"/>
      <x:c r="D52" s="156"/>
      <x:c r="E52" s="156"/>
      <x:c r="F52" s="156"/>
      <x:c r="G52" s="156"/>
      <x:c r="H52" s="156"/>
      <x:c r="I52" s="156"/>
      <x:c r="J52" s="156"/>
      <x:c r="K52" s="156"/>
      <x:c r="L52" s="156"/>
      <x:c r="M52" s="156"/>
      <x:c r="N52" s="157"/>
    </x:row>
    <x:row r="53" ht="24" customHeight="1">
      <x:c r="A53" s="155"/>
      <x:c r="B53" s="156"/>
      <x:c r="C53" s="156"/>
      <x:c r="D53" s="156"/>
      <x:c r="E53" s="156"/>
      <x:c r="F53" s="156"/>
      <x:c r="G53" s="156"/>
      <x:c r="H53" s="156"/>
      <x:c r="I53" s="156"/>
      <x:c r="J53" s="156"/>
      <x:c r="K53" s="156"/>
      <x:c r="L53" s="156"/>
      <x:c r="M53" s="156"/>
      <x:c r="N53" s="157"/>
    </x:row>
    <x:row r="54" ht="24" customHeight="1">
      <x:c r="A54" s="155"/>
      <x:c r="B54" s="156"/>
      <x:c r="C54" s="156"/>
      <x:c r="D54" s="156"/>
      <x:c r="E54" s="156"/>
      <x:c r="F54" s="156"/>
      <x:c r="G54" s="156"/>
      <x:c r="H54" s="156"/>
      <x:c r="I54" s="156"/>
      <x:c r="J54" s="156"/>
      <x:c r="K54" s="156"/>
      <x:c r="L54" s="156"/>
      <x:c r="M54" s="156"/>
      <x:c r="N54" s="157"/>
    </x:row>
    <x:row r="55" ht="24" customHeight="1">
      <x:c r="A55" s="155"/>
      <x:c r="B55" s="156"/>
      <x:c r="C55" s="156"/>
      <x:c r="D55" s="156"/>
      <x:c r="E55" s="156"/>
      <x:c r="F55" s="156"/>
      <x:c r="G55" s="156"/>
      <x:c r="H55" s="156"/>
      <x:c r="I55" s="156"/>
      <x:c r="J55" s="156"/>
      <x:c r="K55" s="156"/>
      <x:c r="L55" s="156"/>
      <x:c r="M55" s="156"/>
      <x:c r="N55" s="157"/>
    </x:row>
    <x:row r="56" ht="24" customHeight="1">
      <x:c r="A56" s="155"/>
      <x:c r="B56" s="156"/>
      <x:c r="C56" s="156"/>
      <x:c r="D56" s="156"/>
      <x:c r="E56" s="156"/>
      <x:c r="F56" s="156"/>
      <x:c r="G56" s="156"/>
      <x:c r="H56" s="156"/>
      <x:c r="I56" s="156"/>
      <x:c r="J56" s="156"/>
      <x:c r="K56" s="156"/>
      <x:c r="L56" s="156"/>
      <x:c r="M56" s="156"/>
      <x:c r="N56" s="157"/>
    </x:row>
    <x:row r="57" ht="24" customHeight="1">
      <x:c r="A57" s="155"/>
      <x:c r="B57" s="156"/>
      <x:c r="C57" s="156"/>
      <x:c r="D57" s="156"/>
      <x:c r="E57" s="156"/>
      <x:c r="F57" s="156"/>
      <x:c r="G57" s="156"/>
      <x:c r="H57" s="156"/>
      <x:c r="I57" s="156"/>
      <x:c r="J57" s="156"/>
      <x:c r="K57" s="156"/>
      <x:c r="L57" s="156"/>
      <x:c r="M57" s="156"/>
      <x:c r="N57" s="157"/>
    </x:row>
    <x:row r="58" ht="38" customHeight="1">
      <x:c r="A58" s="171" t="str">
        <x:v>Decision guide</x:v>
      </x:c>
      <x:c r="B58" s="172" t="str">
        <x:v>Use My Zone for entertainment value; ICICI Coral for lower ongoing cost; SBI ELITE for premium welcome and lifestyle benefits; Flipkart Axis for shopping cashback; Axis Horizon for travel, with the legacy-product caveat.</x:v>
      </x:c>
      <x:c r="C58" s="172"/>
      <x:c r="D58" s="172"/>
      <x:c r="E58" s="172"/>
      <x:c r="F58" s="172"/>
      <x:c r="G58" s="172"/>
      <x:c r="H58" s="172"/>
      <x:c r="I58" s="172"/>
      <x:c r="J58" s="172"/>
      <x:c r="K58" s="172"/>
      <x:c r="L58" s="172"/>
      <x:c r="M58" s="172"/>
      <x:c r="N58" s="173"/>
    </x:row>
    <x:row r="59" ht="38" customHeight="1">
      <x:c r="A59" s="171" t="str">
        <x:v>Important</x:v>
      </x:c>
      <x:c r="B59" s="172" t="str">
        <x:v>Paying interest can outweigh rewards. All five current pages list a 3.75% monthly finance charge.</x:v>
      </x:c>
      <x:c r="C59" s="172"/>
      <x:c r="D59" s="172"/>
      <x:c r="E59" s="172"/>
      <x:c r="F59" s="172"/>
      <x:c r="G59" s="172"/>
      <x:c r="H59" s="172"/>
      <x:c r="I59" s="172"/>
      <x:c r="J59" s="172"/>
      <x:c r="K59" s="172"/>
      <x:c r="L59" s="172"/>
      <x:c r="M59" s="172"/>
      <x:c r="N59" s="173"/>
    </x:row>
    <x:row r="60" ht="38" customHeight="1">
      <x:c r="A60" s="171" t="str">
        <x:v>Interpretation</x:v>
      </x:c>
      <x:c r="B60" s="172" t="str">
        <x:v>These are the strongest eligible review scores in this dataset, not a claim that they are the five best cards available today.</x:v>
      </x:c>
      <x:c r="C60" s="172"/>
      <x:c r="D60" s="172"/>
      <x:c r="E60" s="172"/>
      <x:c r="F60" s="172"/>
      <x:c r="G60" s="172"/>
      <x:c r="H60" s="172"/>
      <x:c r="I60" s="172"/>
      <x:c r="J60" s="172"/>
      <x:c r="K60" s="172"/>
      <x:c r="L60" s="172"/>
      <x:c r="M60" s="172"/>
      <x:c r="N60" s="173"/>
    </x:row>
    <x:row r="61" ht="38" customHeight="1">
      <x:c r="A61" s="174" t="str">
        <x:v>Source trail</x:v>
      </x:c>
      <x:c r="B61" s="175" t="str">
        <x:v>See the BigQuery output, Methodology, and Sources sheets for validation details and official links.</x:v>
      </x:c>
      <x:c r="C61" s="175"/>
      <x:c r="D61" s="175"/>
      <x:c r="E61" s="175"/>
      <x:c r="F61" s="175"/>
      <x:c r="G61" s="175"/>
      <x:c r="H61" s="175"/>
      <x:c r="I61" s="175"/>
      <x:c r="J61" s="175"/>
      <x:c r="K61" s="175"/>
      <x:c r="L61" s="175"/>
      <x:c r="M61" s="175"/>
      <x:c r="N61" s="176"/>
    </x:row>
  </x:sheetData>
  <x:mergeCells>
    <x:mergeCell ref="A1:N1"/>
    <x:mergeCell ref="A2:N2"/>
    <x:mergeCell ref="H7:J9"/>
    <x:mergeCell ref="B58:N58"/>
    <x:mergeCell ref="B59:N59"/>
    <x:mergeCell ref="B60:N60"/>
    <x:mergeCell ref="B61:N61"/>
  </x:mergeCells>
  <x:pageMargins left="0.7" right="0.7" top="0.75" bottom="0.75" header="0.3" footer="0.3"/>
  <x:drawing xmlns:r="http://schemas.openxmlformats.org/officeDocument/2006/relationships" r:id="Rf0a827d3fe5648d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0" t="str">
        <x:v>review_rows</x:v>
      </x:c>
      <x:c r="B1" s="21" t="str">
        <x:v>distinct_cards</x:v>
      </x:c>
      <x:c r="C1" s="21" t="str">
        <x:v>numeric_ratings</x:v>
      </x:c>
      <x:c r="D1" s="21" t="str">
        <x:v>rating_coverage</x:v>
      </x:c>
      <x:c r="E1" s="22" t="str">
        <x:v>global_mean_rating</x:v>
      </x:c>
    </x:row>
    <x:row r="2">
      <x:c r="A2" s="23" t="str">
        <x:v>7513</x:v>
      </x:c>
      <x:c r="B2" s="24" t="str">
        <x:v>59</x:v>
      </x:c>
      <x:c r="C2" s="24" t="str">
        <x:v>1616</x:v>
      </x:c>
      <x:c r="D2" s="25" t="str">
        <x:v>0.215094</x:v>
      </x:c>
      <x:c r="E2" s="26" t="str">
        <x:v>3.237005</x:v>
      </x:c>
    </x:row>
  </x:sheetData>
  <x:pageMargins left="0.7" right="0.7" top="0.75" bottom="0.75" header="0.3" footer="0.3"/>
  <x:tableParts count="1">
    <x:tablePart xmlns:r="http://schemas.openxmlformats.org/officeDocument/2006/relationships" r:id="Rf9fde18edc814d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</x:cols>
  <x:sheetData>
    <x:row r="1">
      <x:c r="A1" s="20" t="str">
        <x:v>card_name</x:v>
      </x:c>
      <x:c r="B1" s="21" t="str">
        <x:v>category</x:v>
      </x:c>
      <x:c r="C1" s="21" t="str">
        <x:v>bank</x:v>
      </x:c>
      <x:c r="D1" s="21" t="str">
        <x:v>total_reviews</x:v>
      </x:c>
      <x:c r="E1" s="21" t="str">
        <x:v>numeric_ratings</x:v>
      </x:c>
      <x:c r="F1" s="21" t="str">
        <x:v>average_rating</x:v>
      </x:c>
      <x:c r="G1" s="21" t="str">
        <x:v>bayesian_score</x:v>
      </x:c>
      <x:c r="H1" s="21" t="str">
        <x:v>eligible</x:v>
      </x:c>
      <x:c r="I1" s="22" t="str">
        <x:v>eligible_rank</x:v>
      </x:c>
    </x:row>
    <x:row r="2">
      <x:c r="A2" s="35" t="str">
        <x:v>Axis Bank Myzone Credit card</x:v>
      </x:c>
      <x:c r="B2" s="36" t="str">
        <x:v>Lifestyle</x:v>
      </x:c>
      <x:c r="C2" s="36" t="str">
        <x:v>Axis Bank</x:v>
      </x:c>
      <x:c r="D2" s="37" t="str">
        <x:v>75</x:v>
      </x:c>
      <x:c r="E2" s="37" t="str">
        <x:v>20</x:v>
      </x:c>
      <x:c r="F2" s="38" t="str">
        <x:v>4.7</x:v>
      </x:c>
      <x:c r="G2" s="39" t="str">
        <x:v>3.968502</x:v>
      </x:c>
      <x:c r="H2" s="36" t="str">
        <x:v>true</x:v>
      </x:c>
      <x:c r="I2" s="40" t="str">
        <x:v>1</x:v>
      </x:c>
    </x:row>
    <x:row r="3">
      <x:c r="A3" s="35" t="str">
        <x:v>ICICI CORAL VISA CONTACTLESS</x:v>
      </x:c>
      <x:c r="B3" s="36" t="str">
        <x:v>Lifestyle</x:v>
      </x:c>
      <x:c r="C3" s="36" t="str">
        <x:v>ICICI</x:v>
      </x:c>
      <x:c r="D3" s="37" t="str">
        <x:v>20</x:v>
      </x:c>
      <x:c r="E3" s="37" t="str">
        <x:v>20</x:v>
      </x:c>
      <x:c r="F3" s="38" t="str">
        <x:v>4.525</x:v>
      </x:c>
      <x:c r="G3" s="39" t="str">
        <x:v>3.881002</x:v>
      </x:c>
      <x:c r="H3" s="36" t="str">
        <x:v>true</x:v>
      </x:c>
      <x:c r="I3" s="40" t="str">
        <x:v>2</x:v>
      </x:c>
    </x:row>
    <x:row r="4">
      <x:c r="A4" s="35" t="str">
        <x:v>SBI ELITE</x:v>
      </x:c>
      <x:c r="B4" s="36" t="str">
        <x:v>Lifestyle</x:v>
      </x:c>
      <x:c r="C4" s="36" t="str">
        <x:v>SBI</x:v>
      </x:c>
      <x:c r="D4" s="37" t="str">
        <x:v>124</x:v>
      </x:c>
      <x:c r="E4" s="37" t="str">
        <x:v>20</x:v>
      </x:c>
      <x:c r="F4" s="38" t="str">
        <x:v>4.5</x:v>
      </x:c>
      <x:c r="G4" s="39" t="str">
        <x:v>3.868502</x:v>
      </x:c>
      <x:c r="H4" s="36" t="str">
        <x:v>true</x:v>
      </x:c>
      <x:c r="I4" s="40" t="str">
        <x:v>3</x:v>
      </x:c>
    </x:row>
    <x:row r="5">
      <x:c r="A5" s="35" t="str">
        <x:v>CITIBANK PREMIERMILES</x:v>
      </x:c>
      <x:c r="B5" s="36" t="str">
        <x:v>Travel</x:v>
      </x:c>
      <x:c r="C5" s="36" t="str">
        <x:v>Citi Bank</x:v>
      </x:c>
      <x:c r="D5" s="37" t="str">
        <x:v>20</x:v>
      </x:c>
      <x:c r="E5" s="37" t="str">
        <x:v>20</x:v>
      </x:c>
      <x:c r="F5" s="38" t="str">
        <x:v>4.45</x:v>
      </x:c>
      <x:c r="G5" s="39" t="str">
        <x:v>3.843502</x:v>
      </x:c>
      <x:c r="H5" s="36" t="str">
        <x:v>true</x:v>
      </x:c>
      <x:c r="I5" s="40" t="str">
        <x:v>4</x:v>
      </x:c>
    </x:row>
    <x:row r="6">
      <x:c r="A6" s="35" t="str">
        <x:v>AXIS FLIPKART</x:v>
      </x:c>
      <x:c r="B6" s="36" t="str">
        <x:v>Shopping</x:v>
      </x:c>
      <x:c r="C6" s="36" t="str">
        <x:v>Axis Bank</x:v>
      </x:c>
      <x:c r="D6" s="37" t="str">
        <x:v>85</x:v>
      </x:c>
      <x:c r="E6" s="37" t="str">
        <x:v>20</x:v>
      </x:c>
      <x:c r="F6" s="38" t="str">
        <x:v>4.425</x:v>
      </x:c>
      <x:c r="G6" s="39" t="str">
        <x:v>3.831002</x:v>
      </x:c>
      <x:c r="H6" s="36" t="str">
        <x:v>true</x:v>
      </x:c>
      <x:c r="I6" s="40" t="str">
        <x:v>5</x:v>
      </x:c>
    </x:row>
    <x:row r="7">
      <x:c r="A7" s="27" t="str">
        <x:v>HDFC Bank Platinum Times</x:v>
      </x:c>
      <x:c r="B7" s="28" t="str">
        <x:v>Lifestyle</x:v>
      </x:c>
      <x:c r="C7" s="28" t="str">
        <x:v>HDFC Bank</x:v>
      </x:c>
      <x:c r="D7" s="30" t="str">
        <x:v>20</x:v>
      </x:c>
      <x:c r="E7" s="30" t="str">
        <x:v>20</x:v>
      </x:c>
      <x:c r="F7" s="31" t="str">
        <x:v>4.375</x:v>
      </x:c>
      <x:c r="G7" s="33" t="str">
        <x:v>3.806002</x:v>
      </x:c>
      <x:c r="H7" s="28" t="str">
        <x:v>true</x:v>
      </x:c>
      <x:c r="I7" s="29" t="str">
        <x:v>6</x:v>
      </x:c>
    </x:row>
    <x:row r="8">
      <x:c r="A8" s="27" t="str">
        <x:v>HDFC Bank Titanium Times</x:v>
      </x:c>
      <x:c r="B8" s="28" t="str">
        <x:v>Lifestyle</x:v>
      </x:c>
      <x:c r="C8" s="28" t="str">
        <x:v>HDFC Bank</x:v>
      </x:c>
      <x:c r="D8" s="30" t="str">
        <x:v>20</x:v>
      </x:c>
      <x:c r="E8" s="30" t="str">
        <x:v>20</x:v>
      </x:c>
      <x:c r="F8" s="31" t="str">
        <x:v>4.325</x:v>
      </x:c>
      <x:c r="G8" s="33" t="str">
        <x:v>3.781002</x:v>
      </x:c>
      <x:c r="H8" s="28" t="str">
        <x:v>true</x:v>
      </x:c>
      <x:c r="I8" s="29" t="str">
        <x:v>7</x:v>
      </x:c>
    </x:row>
    <x:row r="9">
      <x:c r="A9" s="27" t="str">
        <x:v>AXIS PRIVILEGE</x:v>
      </x:c>
      <x:c r="B9" s="28" t="str">
        <x:v>Travel</x:v>
      </x:c>
      <x:c r="C9" s="28" t="str">
        <x:v>Axis Bank</x:v>
      </x:c>
      <x:c r="D9" s="30" t="str">
        <x:v>140</x:v>
      </x:c>
      <x:c r="E9" s="30" t="str">
        <x:v>20</x:v>
      </x:c>
      <x:c r="F9" s="31" t="str">
        <x:v>4.25</x:v>
      </x:c>
      <x:c r="G9" s="33" t="str">
        <x:v>3.743502</x:v>
      </x:c>
      <x:c r="H9" s="28" t="str">
        <x:v>true</x:v>
      </x:c>
      <x:c r="I9" s="29" t="str">
        <x:v>8</x:v>
      </x:c>
    </x:row>
    <x:row r="10">
      <x:c r="A10" s="27" t="str">
        <x:v>Kotak Pvr Gold</x:v>
      </x:c>
      <x:c r="B10" s="28" t="str">
        <x:v>Lifestyle</x:v>
      </x:c>
      <x:c r="C10" s="28" t="str">
        <x:v>Kotak Bank</x:v>
      </x:c>
      <x:c r="D10" s="30" t="str">
        <x:v>54</x:v>
      </x:c>
      <x:c r="E10" s="30" t="str">
        <x:v>20</x:v>
      </x:c>
      <x:c r="F10" s="31" t="str">
        <x:v>4.225</x:v>
      </x:c>
      <x:c r="G10" s="33" t="str">
        <x:v>3.731002</x:v>
      </x:c>
      <x:c r="H10" s="28" t="str">
        <x:v>true</x:v>
      </x:c>
      <x:c r="I10" s="29" t="str">
        <x:v>9</x:v>
      </x:c>
    </x:row>
    <x:row r="11">
      <x:c r="A11" s="27" t="str">
        <x:v>SBI Irctc Platinum</x:v>
      </x:c>
      <x:c r="B11" s="28" t="str">
        <x:v>Travel</x:v>
      </x:c>
      <x:c r="C11" s="28" t="str">
        <x:v>SBI</x:v>
      </x:c>
      <x:c r="D11" s="30" t="str">
        <x:v>24</x:v>
      </x:c>
      <x:c r="E11" s="30" t="str">
        <x:v>20</x:v>
      </x:c>
      <x:c r="F11" s="31" t="str">
        <x:v>4.225</x:v>
      </x:c>
      <x:c r="G11" s="33" t="str">
        <x:v>3.731002</x:v>
      </x:c>
      <x:c r="H11" s="28" t="str">
        <x:v>true</x:v>
      </x:c>
      <x:c r="I11" s="29" t="str">
        <x:v>10</x:v>
      </x:c>
    </x:row>
    <x:row r="12">
      <x:c r="A12" s="27" t="str">
        <x:v>ICICI CORAL VISA</x:v>
      </x:c>
      <x:c r="B12" s="28" t="str">
        <x:v>Lifestyle</x:v>
      </x:c>
      <x:c r="C12" s="28" t="str">
        <x:v>ICICI</x:v>
      </x:c>
      <x:c r="D12" s="30" t="str">
        <x:v>20</x:v>
      </x:c>
      <x:c r="E12" s="30" t="str">
        <x:v>20</x:v>
      </x:c>
      <x:c r="F12" s="31" t="str">
        <x:v>4.2</x:v>
      </x:c>
      <x:c r="G12" s="33" t="str">
        <x:v>3.718502</x:v>
      </x:c>
      <x:c r="H12" s="28" t="str">
        <x:v>true</x:v>
      </x:c>
      <x:c r="I12" s="29" t="str">
        <x:v>11</x:v>
      </x:c>
    </x:row>
    <x:row r="13">
      <x:c r="A13" s="27" t="str">
        <x:v>ICICI CORAL AMEX</x:v>
      </x:c>
      <x:c r="B13" s="28" t="str">
        <x:v>Lifestyle</x:v>
      </x:c>
      <x:c r="C13" s="28" t="str">
        <x:v>ICICI</x:v>
      </x:c>
      <x:c r="D13" s="30" t="str">
        <x:v>76</x:v>
      </x:c>
      <x:c r="E13" s="30" t="str">
        <x:v>20</x:v>
      </x:c>
      <x:c r="F13" s="31" t="str">
        <x:v>4.2</x:v>
      </x:c>
      <x:c r="G13" s="33" t="str">
        <x:v>3.718502</x:v>
      </x:c>
      <x:c r="H13" s="28" t="str">
        <x:v>true</x:v>
      </x:c>
      <x:c r="I13" s="29" t="str">
        <x:v>12</x:v>
      </x:c>
    </x:row>
    <x:row r="14">
      <x:c r="A14" s="27" t="str">
        <x:v>ICICI JET CORAL VISA</x:v>
      </x:c>
      <x:c r="B14" s="28" t="str">
        <x:v>Travel</x:v>
      </x:c>
      <x:c r="C14" s="28" t="str">
        <x:v>ICICI</x:v>
      </x:c>
      <x:c r="D14" s="30" t="str">
        <x:v>20</x:v>
      </x:c>
      <x:c r="E14" s="30" t="str">
        <x:v>20</x:v>
      </x:c>
      <x:c r="F14" s="31" t="str">
        <x:v>4.2</x:v>
      </x:c>
      <x:c r="G14" s="33" t="str">
        <x:v>3.718502</x:v>
      </x:c>
      <x:c r="H14" s="28" t="str">
        <x:v>true</x:v>
      </x:c>
      <x:c r="I14" s="29" t="str">
        <x:v>13</x:v>
      </x:c>
    </x:row>
    <x:row r="15">
      <x:c r="A15" s="27" t="str">
        <x:v>ICICI RUBYX AMEX</x:v>
      </x:c>
      <x:c r="B15" s="28" t="str">
        <x:v>Lifestyle</x:v>
      </x:c>
      <x:c r="C15" s="28" t="str">
        <x:v>ICICI</x:v>
      </x:c>
      <x:c r="D15" s="30" t="str">
        <x:v>20</x:v>
      </x:c>
      <x:c r="E15" s="30" t="str">
        <x:v>20</x:v>
      </x:c>
      <x:c r="F15" s="31" t="str">
        <x:v>4.2</x:v>
      </x:c>
      <x:c r="G15" s="33" t="str">
        <x:v>3.718502</x:v>
      </x:c>
      <x:c r="H15" s="28" t="str">
        <x:v>true</x:v>
      </x:c>
      <x:c r="I15" s="29" t="str">
        <x:v>14</x:v>
      </x:c>
    </x:row>
    <x:row r="16">
      <x:c r="A16" s="27" t="str">
        <x:v>ICICI RUBYX JET AIRWAYS VISA</x:v>
      </x:c>
      <x:c r="B16" s="28" t="str">
        <x:v>Travel</x:v>
      </x:c>
      <x:c r="C16" s="28" t="str">
        <x:v>ICICI</x:v>
      </x:c>
      <x:c r="D16" s="30" t="str">
        <x:v>20</x:v>
      </x:c>
      <x:c r="E16" s="30" t="str">
        <x:v>20</x:v>
      </x:c>
      <x:c r="F16" s="31" t="str">
        <x:v>4.2</x:v>
      </x:c>
      <x:c r="G16" s="33" t="str">
        <x:v>3.718502</x:v>
      </x:c>
      <x:c r="H16" s="28" t="str">
        <x:v>true</x:v>
      </x:c>
      <x:c r="I16" s="29" t="str">
        <x:v>15</x:v>
      </x:c>
    </x:row>
    <x:row r="17">
      <x:c r="A17" s="27" t="str">
        <x:v>ICICI RUBYX VISA</x:v>
      </x:c>
      <x:c r="B17" s="28" t="str">
        <x:v>Lifestyle</x:v>
      </x:c>
      <x:c r="C17" s="28" t="str">
        <x:v>ICICI</x:v>
      </x:c>
      <x:c r="D17" s="30" t="str">
        <x:v>20</x:v>
      </x:c>
      <x:c r="E17" s="30" t="str">
        <x:v>20</x:v>
      </x:c>
      <x:c r="F17" s="31" t="str">
        <x:v>4.2</x:v>
      </x:c>
      <x:c r="G17" s="33" t="str">
        <x:v>3.718502</x:v>
      </x:c>
      <x:c r="H17" s="28" t="str">
        <x:v>true</x:v>
      </x:c>
      <x:c r="I17" s="29" t="str">
        <x:v>16</x:v>
      </x:c>
    </x:row>
    <x:row r="18">
      <x:c r="A18" s="27" t="str">
        <x:v>ICICI SAPPHIRO AMEX</x:v>
      </x:c>
      <x:c r="B18" s="28" t="str">
        <x:v>Lifestyle</x:v>
      </x:c>
      <x:c r="C18" s="28" t="str">
        <x:v>ICICI</x:v>
      </x:c>
      <x:c r="D18" s="30" t="str">
        <x:v>20</x:v>
      </x:c>
      <x:c r="E18" s="30" t="str">
        <x:v>20</x:v>
      </x:c>
      <x:c r="F18" s="31" t="str">
        <x:v>4.2</x:v>
      </x:c>
      <x:c r="G18" s="33" t="str">
        <x:v>3.718502</x:v>
      </x:c>
      <x:c r="H18" s="28" t="str">
        <x:v>true</x:v>
      </x:c>
      <x:c r="I18" s="29" t="str">
        <x:v>17</x:v>
      </x:c>
    </x:row>
    <x:row r="19">
      <x:c r="A19" s="27" t="str">
        <x:v>ICICI SAPPHIRO VISA</x:v>
      </x:c>
      <x:c r="B19" s="28" t="str">
        <x:v>Lifestyle + Travel</x:v>
      </x:c>
      <x:c r="C19" s="28" t="str">
        <x:v>ICICI</x:v>
      </x:c>
      <x:c r="D19" s="30" t="str">
        <x:v>20</x:v>
      </x:c>
      <x:c r="E19" s="30" t="str">
        <x:v>20</x:v>
      </x:c>
      <x:c r="F19" s="31" t="str">
        <x:v>4.2</x:v>
      </x:c>
      <x:c r="G19" s="33" t="str">
        <x:v>3.718502</x:v>
      </x:c>
      <x:c r="H19" s="28" t="str">
        <x:v>true</x:v>
      </x:c>
      <x:c r="I19" s="29" t="str">
        <x:v>18</x:v>
      </x:c>
    </x:row>
    <x:row r="20">
      <x:c r="A20" s="27" t="str">
        <x:v>Kotak Pvr Platinum</x:v>
      </x:c>
      <x:c r="B20" s="28" t="str">
        <x:v>Lifestyle</x:v>
      </x:c>
      <x:c r="C20" s="28" t="str">
        <x:v>Kotak Bank</x:v>
      </x:c>
      <x:c r="D20" s="30" t="str">
        <x:v>20</x:v>
      </x:c>
      <x:c r="E20" s="30" t="str">
        <x:v>20</x:v>
      </x:c>
      <x:c r="F20" s="31" t="str">
        <x:v>4.2</x:v>
      </x:c>
      <x:c r="G20" s="33" t="str">
        <x:v>3.718502</x:v>
      </x:c>
      <x:c r="H20" s="28" t="str">
        <x:v>true</x:v>
      </x:c>
      <x:c r="I20" s="29" t="str">
        <x:v>19</x:v>
      </x:c>
    </x:row>
    <x:row r="21">
      <x:c r="A21" s="27" t="str">
        <x:v>HDFC DINERS CLUB MILES</x:v>
      </x:c>
      <x:c r="B21" s="28" t="str">
        <x:v>Travel</x:v>
      </x:c>
      <x:c r="C21" s="28" t="str">
        <x:v>HDFC Bank</x:v>
      </x:c>
      <x:c r="D21" s="30" t="str">
        <x:v>20</x:v>
      </x:c>
      <x:c r="E21" s="30" t="str">
        <x:v>20</x:v>
      </x:c>
      <x:c r="F21" s="31" t="str">
        <x:v>4.2</x:v>
      </x:c>
      <x:c r="G21" s="33" t="str">
        <x:v>3.718502</x:v>
      </x:c>
      <x:c r="H21" s="28" t="str">
        <x:v>true</x:v>
      </x:c>
      <x:c r="I21" s="29" t="str">
        <x:v>20</x:v>
      </x:c>
    </x:row>
    <x:row r="22">
      <x:c r="A22" s="27" t="str">
        <x:v>HDFC REGALIA FIRST</x:v>
      </x:c>
      <x:c r="B22" s="28" t="str">
        <x:v>Travel</x:v>
      </x:c>
      <x:c r="C22" s="28" t="str">
        <x:v>HDFC Bank</x:v>
      </x:c>
      <x:c r="D22" s="30" t="str">
        <x:v>194</x:v>
      </x:c>
      <x:c r="E22" s="30" t="str">
        <x:v>20</x:v>
      </x:c>
      <x:c r="F22" s="31" t="str">
        <x:v>4.175</x:v>
      </x:c>
      <x:c r="G22" s="33" t="str">
        <x:v>3.706002</x:v>
      </x:c>
      <x:c r="H22" s="28" t="str">
        <x:v>true</x:v>
      </x:c>
      <x:c r="I22" s="29" t="str">
        <x:v>21</x:v>
      </x:c>
    </x:row>
    <x:row r="23">
      <x:c r="A23" s="27" t="str">
        <x:v>SBI AIR INDIA SIGNATURE</x:v>
      </x:c>
      <x:c r="B23" s="28" t="str">
        <x:v>Travel</x:v>
      </x:c>
      <x:c r="C23" s="28" t="str">
        <x:v>SBI</x:v>
      </x:c>
      <x:c r="D23" s="30" t="str">
        <x:v>20</x:v>
      </x:c>
      <x:c r="E23" s="30" t="str">
        <x:v>20</x:v>
      </x:c>
      <x:c r="F23" s="31" t="str">
        <x:v>4.175</x:v>
      </x:c>
      <x:c r="G23" s="33" t="str">
        <x:v>3.706002</x:v>
      </x:c>
      <x:c r="H23" s="28" t="str">
        <x:v>true</x:v>
      </x:c>
      <x:c r="I23" s="29" t="str">
        <x:v>22</x:v>
      </x:c>
    </x:row>
    <x:row r="24">
      <x:c r="A24" s="27" t="str">
        <x:v>HDFC Moneyback Credit Card</x:v>
      </x:c>
      <x:c r="B24" s="28" t="str">
        <x:v>Rewards</x:v>
      </x:c>
      <x:c r="C24" s="28" t="str">
        <x:v>HDFC Bank</x:v>
      </x:c>
      <x:c r="D24" s="30" t="str">
        <x:v>294</x:v>
      </x:c>
      <x:c r="E24" s="30" t="str">
        <x:v>20</x:v>
      </x:c>
      <x:c r="F24" s="31" t="str">
        <x:v>4.15</x:v>
      </x:c>
      <x:c r="G24" s="33" t="str">
        <x:v>3.693502</x:v>
      </x:c>
      <x:c r="H24" s="28" t="str">
        <x:v>true</x:v>
      </x:c>
      <x:c r="I24" s="29" t="str">
        <x:v>23</x:v>
      </x:c>
    </x:row>
    <x:row r="25">
      <x:c r="A25" s="27" t="str">
        <x:v>Axis Bank Platinum Credit card</x:v>
      </x:c>
      <x:c r="B25" s="28" t="str">
        <x:v>Rewards</x:v>
      </x:c>
      <x:c r="C25" s="28" t="str">
        <x:v>Axis Bank</x:v>
      </x:c>
      <x:c r="D25" s="30" t="str">
        <x:v>20</x:v>
      </x:c>
      <x:c r="E25" s="30" t="str">
        <x:v>20</x:v>
      </x:c>
      <x:c r="F25" s="31" t="str">
        <x:v>4.125</x:v>
      </x:c>
      <x:c r="G25" s="33" t="str">
        <x:v>3.681002</x:v>
      </x:c>
      <x:c r="H25" s="28" t="str">
        <x:v>true</x:v>
      </x:c>
      <x:c r="I25" s="29" t="str">
        <x:v>24</x:v>
      </x:c>
    </x:row>
    <x:row r="26">
      <x:c r="A26" s="27" t="str">
        <x:v>AXIS VISTARA</x:v>
      </x:c>
      <x:c r="B26" s="28" t="str">
        <x:v>Travel</x:v>
      </x:c>
      <x:c r="C26" s="28" t="str">
        <x:v>Axis Bank</x:v>
      </x:c>
      <x:c r="D26" s="30" t="str">
        <x:v>20</x:v>
      </x:c>
      <x:c r="E26" s="30" t="str">
        <x:v>20</x:v>
      </x:c>
      <x:c r="F26" s="31" t="str">
        <x:v>4.1</x:v>
      </x:c>
      <x:c r="G26" s="33" t="str">
        <x:v>3.668502</x:v>
      </x:c>
      <x:c r="H26" s="28" t="str">
        <x:v>true</x:v>
      </x:c>
      <x:c r="I26" s="29" t="str">
        <x:v>25</x:v>
      </x:c>
    </x:row>
    <x:row r="27">
      <x:c r="A27" s="27" t="str">
        <x:v>HDFC Platinum Edge</x:v>
      </x:c>
      <x:c r="B27" s="28" t="str">
        <x:v>Lifestyle</x:v>
      </x:c>
      <x:c r="C27" s="28" t="str">
        <x:v>HDFC Bank</x:v>
      </x:c>
      <x:c r="D27" s="30" t="str">
        <x:v>20</x:v>
      </x:c>
      <x:c r="E27" s="30" t="str">
        <x:v>20</x:v>
      </x:c>
      <x:c r="F27" s="31" t="str">
        <x:v>4.1</x:v>
      </x:c>
      <x:c r="G27" s="33" t="str">
        <x:v>3.668502</x:v>
      </x:c>
      <x:c r="H27" s="28" t="str">
        <x:v>true</x:v>
      </x:c>
      <x:c r="I27" s="29" t="str">
        <x:v>26</x:v>
      </x:c>
    </x:row>
    <x:row r="28">
      <x:c r="A28" s="27" t="str">
        <x:v>IndusInd Bank Platinum</x:v>
      </x:c>
      <x:c r="B28" s="28" t="str">
        <x:v>Lifestyle</x:v>
      </x:c>
      <x:c r="C28" s="28" t="str">
        <x:v>IndusInd Bank</x:v>
      </x:c>
      <x:c r="D28" s="30" t="str">
        <x:v>20</x:v>
      </x:c>
      <x:c r="E28" s="30" t="str">
        <x:v>20</x:v>
      </x:c>
      <x:c r="F28" s="31" t="str">
        <x:v>4.075</x:v>
      </x:c>
      <x:c r="G28" s="33" t="str">
        <x:v>3.656002</x:v>
      </x:c>
      <x:c r="H28" s="28" t="str">
        <x:v>true</x:v>
      </x:c>
      <x:c r="I28" s="29" t="str">
        <x:v>27</x:v>
      </x:c>
    </x:row>
    <x:row r="29">
      <x:c r="A29" s="27" t="str">
        <x:v>Kotak Royal Signature Credit Card</x:v>
      </x:c>
      <x:c r="B29" s="28" t="str">
        <x:v>Lifestyle</x:v>
      </x:c>
      <x:c r="C29" s="28" t="str">
        <x:v>Kotak Bank</x:v>
      </x:c>
      <x:c r="D29" s="30" t="str">
        <x:v>111</x:v>
      </x:c>
      <x:c r="E29" s="30" t="str">
        <x:v>20</x:v>
      </x:c>
      <x:c r="F29" s="31" t="str">
        <x:v>4.05</x:v>
      </x:c>
      <x:c r="G29" s="33" t="str">
        <x:v>3.643502</x:v>
      </x:c>
      <x:c r="H29" s="28" t="str">
        <x:v>true</x:v>
      </x:c>
      <x:c r="I29" s="29" t="str">
        <x:v>28</x:v>
      </x:c>
    </x:row>
    <x:row r="30">
      <x:c r="A30" s="27" t="str">
        <x:v>SBI AIR INDIA PLATINUM</x:v>
      </x:c>
      <x:c r="B30" s="28" t="str">
        <x:v>Travel</x:v>
      </x:c>
      <x:c r="C30" s="28" t="str">
        <x:v>SBI</x:v>
      </x:c>
      <x:c r="D30" s="30" t="str">
        <x:v>20</x:v>
      </x:c>
      <x:c r="E30" s="30" t="str">
        <x:v>20</x:v>
      </x:c>
      <x:c r="F30" s="31" t="str">
        <x:v>3.975</x:v>
      </x:c>
      <x:c r="G30" s="33" t="str">
        <x:v>3.606002</x:v>
      </x:c>
      <x:c r="H30" s="28" t="str">
        <x:v>true</x:v>
      </x:c>
      <x:c r="I30" s="29" t="str">
        <x:v>29</x:v>
      </x:c>
    </x:row>
    <x:row r="31">
      <x:c r="A31" s="27" t="str">
        <x:v>Yes Prosperity Rewards Plus</x:v>
      </x:c>
      <x:c r="B31" s="28" t="str">
        <x:v>Rewards</x:v>
      </x:c>
      <x:c r="C31" s="28" t="str">
        <x:v>Yes Bank</x:v>
      </x:c>
      <x:c r="D31" s="30" t="str">
        <x:v>20</x:v>
      </x:c>
      <x:c r="E31" s="30" t="str">
        <x:v>20</x:v>
      </x:c>
      <x:c r="F31" s="31" t="str">
        <x:v>3.875</x:v>
      </x:c>
      <x:c r="G31" s="33" t="str">
        <x:v>3.556002</x:v>
      </x:c>
      <x:c r="H31" s="28" t="str">
        <x:v>true</x:v>
      </x:c>
      <x:c r="I31" s="29" t="str">
        <x:v>30</x:v>
      </x:c>
    </x:row>
    <x:row r="32">
      <x:c r="A32" s="27" t="str">
        <x:v>SBI PRIME</x:v>
      </x:c>
      <x:c r="B32" s="28" t="str">
        <x:v>Lifestyle</x:v>
      </x:c>
      <x:c r="C32" s="28" t="str">
        <x:v>SBI</x:v>
      </x:c>
      <x:c r="D32" s="30" t="str">
        <x:v>665</x:v>
      </x:c>
      <x:c r="E32" s="30" t="str">
        <x:v>20</x:v>
      </x:c>
      <x:c r="F32" s="31" t="str">
        <x:v>3.7</x:v>
      </x:c>
      <x:c r="G32" s="33" t="str">
        <x:v>3.468502</x:v>
      </x:c>
      <x:c r="H32" s="28" t="str">
        <x:v>true</x:v>
      </x:c>
      <x:c r="I32" s="29" t="str">
        <x:v>31</x:v>
      </x:c>
    </x:row>
    <x:row r="33">
      <x:c r="A33" s="27" t="str">
        <x:v>RBL Platinum Delight</x:v>
      </x:c>
      <x:c r="B33" s="28" t="str">
        <x:v>Rewards</x:v>
      </x:c>
      <x:c r="C33" s="28" t="str">
        <x:v>RBL</x:v>
      </x:c>
      <x:c r="D33" s="30" t="str">
        <x:v>54</x:v>
      </x:c>
      <x:c r="E33" s="30" t="str">
        <x:v>20</x:v>
      </x:c>
      <x:c r="F33" s="31" t="str">
        <x:v>3.4</x:v>
      </x:c>
      <x:c r="G33" s="33" t="str">
        <x:v>3.318502</x:v>
      </x:c>
      <x:c r="H33" s="28" t="str">
        <x:v>true</x:v>
      </x:c>
      <x:c r="I33" s="29" t="str">
        <x:v>32</x:v>
      </x:c>
    </x:row>
    <x:row r="34">
      <x:c r="A34" s="27" t="str">
        <x:v>IndusInd Platinum Aura Edge</x:v>
      </x:c>
      <x:c r="B34" s="28" t="str">
        <x:v>Lifestyle</x:v>
      </x:c>
      <x:c r="C34" s="28" t="str">
        <x:v>IndusInd Bank</x:v>
      </x:c>
      <x:c r="D34" s="30" t="str">
        <x:v>96</x:v>
      </x:c>
      <x:c r="E34" s="30" t="str">
        <x:v>20</x:v>
      </x:c>
      <x:c r="F34" s="31" t="str">
        <x:v>3.225</x:v>
      </x:c>
      <x:c r="G34" s="33" t="str">
        <x:v>3.231002</x:v>
      </x:c>
      <x:c r="H34" s="28" t="str">
        <x:v>true</x:v>
      </x:c>
      <x:c r="I34" s="29" t="str">
        <x:v>33</x:v>
      </x:c>
    </x:row>
    <x:row r="35">
      <x:c r="A35" s="27" t="str">
        <x:v>SBI PLATINUM</x:v>
      </x:c>
      <x:c r="B35" s="28" t="str">
        <x:v>Lifestyle</x:v>
      </x:c>
      <x:c r="C35" s="28" t="str">
        <x:v>SBI</x:v>
      </x:c>
      <x:c r="D35" s="30" t="str">
        <x:v>40</x:v>
      </x:c>
      <x:c r="E35" s="30" t="str">
        <x:v>40</x:v>
      </x:c>
      <x:c r="F35" s="31" t="str">
        <x:v>3.2</x:v>
      </x:c>
      <x:c r="G35" s="33" t="str">
        <x:v>3.212335</x:v>
      </x:c>
      <x:c r="H35" s="28" t="str">
        <x:v>true</x:v>
      </x:c>
      <x:c r="I35" s="29" t="str">
        <x:v>34</x:v>
      </x:c>
    </x:row>
    <x:row r="36">
      <x:c r="A36" s="27" t="str">
        <x:v>RBL Platinum Maxima</x:v>
      </x:c>
      <x:c r="B36" s="28" t="str">
        <x:v>Lifestyle</x:v>
      </x:c>
      <x:c r="C36" s="28" t="str">
        <x:v>RBL</x:v>
      </x:c>
      <x:c r="D36" s="30" t="str">
        <x:v>43</x:v>
      </x:c>
      <x:c r="E36" s="30" t="str">
        <x:v>20</x:v>
      </x:c>
      <x:c r="F36" s="31" t="str">
        <x:v>2.925</x:v>
      </x:c>
      <x:c r="G36" s="33" t="str">
        <x:v>3.081002</x:v>
      </x:c>
      <x:c r="H36" s="28" t="str">
        <x:v>true</x:v>
      </x:c>
      <x:c r="I36" s="29" t="str">
        <x:v>35</x:v>
      </x:c>
    </x:row>
    <x:row r="37">
      <x:c r="A37" s="27" t="str">
        <x:v>HDFC REGALIA</x:v>
      </x:c>
      <x:c r="B37" s="28" t="str">
        <x:v>Travel</x:v>
      </x:c>
      <x:c r="C37" s="28" t="str">
        <x:v>HDFC Bank</x:v>
      </x:c>
      <x:c r="D37" s="30" t="str">
        <x:v>366</x:v>
      </x:c>
      <x:c r="E37" s="30" t="str">
        <x:v>78</x:v>
      </x:c>
      <x:c r="F37" s="31" t="str">
        <x:v>2.795</x:v>
      </x:c>
      <x:c r="G37" s="33" t="str">
        <x:v>2.885103</x:v>
      </x:c>
      <x:c r="H37" s="28" t="str">
        <x:v>true</x:v>
      </x:c>
      <x:c r="I37" s="29" t="str">
        <x:v>36</x:v>
      </x:c>
    </x:row>
    <x:row r="38">
      <x:c r="A38" s="27" t="str">
        <x:v>HDFC DINERS CLUB BLACK</x:v>
      </x:c>
      <x:c r="B38" s="28" t="str">
        <x:v>Lifestyle</x:v>
      </x:c>
      <x:c r="C38" s="28" t="str">
        <x:v>HDFC Bank</x:v>
      </x:c>
      <x:c r="D38" s="30" t="str">
        <x:v>688</x:v>
      </x:c>
      <x:c r="E38" s="30" t="str">
        <x:v>57</x:v>
      </x:c>
      <x:c r="F38" s="31" t="str">
        <x:v>2.614</x:v>
      </x:c>
      <x:c r="G38" s="33" t="str">
        <x:v>2.775845</x:v>
      </x:c>
      <x:c r="H38" s="28" t="str">
        <x:v>true</x:v>
      </x:c>
      <x:c r="I38" s="29" t="str">
        <x:v>37</x:v>
      </x:c>
    </x:row>
    <x:row r="39">
      <x:c r="A39" s="27" t="str">
        <x:v>SBI Simplyclick card</x:v>
      </x:c>
      <x:c r="B39" s="28" t="str">
        <x:v>Rewards</x:v>
      </x:c>
      <x:c r="C39" s="28" t="str">
        <x:v>SBI</x:v>
      </x:c>
      <x:c r="D39" s="30" t="str">
        <x:v>338</x:v>
      </x:c>
      <x:c r="E39" s="30" t="str">
        <x:v>146</x:v>
      </x:c>
      <x:c r="F39" s="31" t="str">
        <x:v>2.579</x:v>
      </x:c>
      <x:c r="G39" s="33" t="str">
        <x:v>2.658073</x:v>
      </x:c>
      <x:c r="H39" s="28" t="str">
        <x:v>true</x:v>
      </x:c>
      <x:c r="I39" s="29" t="str">
        <x:v>38</x:v>
      </x:c>
    </x:row>
    <x:row r="40">
      <x:c r="A40" s="27" t="str">
        <x:v>Simply Save SBI Card</x:v>
      </x:c>
      <x:c r="B40" s="28" t="str">
        <x:v>Rewards</x:v>
      </x:c>
      <x:c r="C40" s="28" t="str">
        <x:v>SBI</x:v>
      </x:c>
      <x:c r="D40" s="30" t="str">
        <x:v>393</x:v>
      </x:c>
      <x:c r="E40" s="30" t="str">
        <x:v>312</x:v>
      </x:c>
      <x:c r="F40" s="31" t="str">
        <x:v>2.471</x:v>
      </x:c>
      <x:c r="G40" s="33" t="str">
        <x:v>2.517289</x:v>
      </x:c>
      <x:c r="H40" s="28" t="str">
        <x:v>true</x:v>
      </x:c>
      <x:c r="I40" s="29" t="str">
        <x:v>39</x:v>
      </x:c>
    </x:row>
    <x:row r="41">
      <x:c r="A41" s="27" t="str">
        <x:v>HSBC Visa Platinum</x:v>
      </x:c>
      <x:c r="B41" s="28" t="str">
        <x:v>Lifestyle</x:v>
      </x:c>
      <x:c r="C41" s="28" t="str">
        <x:v>HSBC</x:v>
      </x:c>
      <x:c r="D41" s="30" t="str">
        <x:v>265</x:v>
      </x:c>
      <x:c r="E41" s="30" t="str">
        <x:v>200</x:v>
      </x:c>
      <x:c r="F41" s="31" t="str">
        <x:v>1.865</x:v>
      </x:c>
      <x:c r="G41" s="33" t="str">
        <x:v>1.989728</x:v>
      </x:c>
      <x:c r="H41" s="28" t="str">
        <x:v>true</x:v>
      </x:c>
      <x:c r="I41" s="29" t="str">
        <x:v>40</x:v>
      </x:c>
    </x:row>
    <x:row r="42">
      <x:c r="A42" s="27" t="str">
        <x:v>HDFC JET PRIVILEGE</x:v>
      </x:c>
      <x:c r="B42" s="28" t="str">
        <x:v>Travel</x:v>
      </x:c>
      <x:c r="C42" s="28" t="str">
        <x:v>HDFC Bank</x:v>
      </x:c>
      <x:c r="D42" s="30" t="str">
        <x:v>19</x:v>
      </x:c>
      <x:c r="E42" s="30" t="str">
        <x:v>19</x:v>
      </x:c>
      <x:c r="F42" s="31" t="str">
        <x:v>4.316</x:v>
      </x:c>
      <x:c r="G42" s="33" t="str">
        <x:v>3.762567</x:v>
      </x:c>
      <x:c r="H42" s="28" t="str">
        <x:v>false</x:v>
      </x:c>
      <x:c r="I42" s="29" t="str"/>
    </x:row>
    <x:row r="43">
      <x:c r="A43" s="27" t="str">
        <x:v>ICICI RUBYX MASTERCARD</x:v>
      </x:c>
      <x:c r="B43" s="28" t="str">
        <x:v>Lifestyle</x:v>
      </x:c>
      <x:c r="C43" s="28" t="str">
        <x:v>ICICI</x:v>
      </x:c>
      <x:c r="D43" s="30" t="str">
        <x:v>19</x:v>
      </x:c>
      <x:c r="E43" s="30" t="str">
        <x:v>19</x:v>
      </x:c>
      <x:c r="F43" s="31" t="str">
        <x:v>4.211</x:v>
      </x:c>
      <x:c r="G43" s="33" t="str">
        <x:v>3.711285</x:v>
      </x:c>
      <x:c r="H43" s="28" t="str">
        <x:v>false</x:v>
      </x:c>
      <x:c r="I43" s="29" t="str"/>
    </x:row>
    <x:row r="44">
      <x:c r="A44" s="27" t="str">
        <x:v>AXIS VISTARA SIGNATURE</x:v>
      </x:c>
      <x:c r="B44" s="28" t="str">
        <x:v>Travel</x:v>
      </x:c>
      <x:c r="C44" s="28" t="str">
        <x:v>Axis Bank</x:v>
      </x:c>
      <x:c r="D44" s="30" t="str">
        <x:v>15</x:v>
      </x:c>
      <x:c r="E44" s="30" t="str">
        <x:v>15</x:v>
      </x:c>
      <x:c r="F44" s="31" t="str">
        <x:v>4.233</x:v>
      </x:c>
      <x:c r="G44" s="33" t="str">
        <x:v>3.664003</x:v>
      </x:c>
      <x:c r="H44" s="28" t="str">
        <x:v>false</x:v>
      </x:c>
      <x:c r="I44" s="29" t="str"/>
    </x:row>
    <x:row r="45">
      <x:c r="A45" s="27" t="str">
        <x:v>YES FIRST PREFERRED</x:v>
      </x:c>
      <x:c r="B45" s="28" t="str">
        <x:v>Rewards</x:v>
      </x:c>
      <x:c r="C45" s="28" t="str">
        <x:v>Yes Bank</x:v>
      </x:c>
      <x:c r="D45" s="30" t="str">
        <x:v>9</x:v>
      </x:c>
      <x:c r="E45" s="30" t="str">
        <x:v>9</x:v>
      </x:c>
      <x:c r="F45" s="31" t="str">
        <x:v>4.611</x:v>
      </x:c>
      <x:c r="G45" s="33" t="str">
        <x:v>3.663452</x:v>
      </x:c>
      <x:c r="H45" s="28" t="str">
        <x:v>false</x:v>
      </x:c>
      <x:c r="I45" s="29" t="str"/>
    </x:row>
    <x:row r="46">
      <x:c r="A46" s="27" t="str">
        <x:v>AXIS MILES AND MORE</x:v>
      </x:c>
      <x:c r="B46" s="28" t="str">
        <x:v>Travel</x:v>
      </x:c>
      <x:c r="C46" s="28" t="str">
        <x:v>Axis Bank</x:v>
      </x:c>
      <x:c r="D46" s="30" t="str">
        <x:v>11</x:v>
      </x:c>
      <x:c r="E46" s="30" t="str">
        <x:v>11</x:v>
      </x:c>
      <x:c r="F46" s="31" t="str">
        <x:v>4.318</x:v>
      </x:c>
      <x:c r="G46" s="33" t="str">
        <x:v>3.620648</x:v>
      </x:c>
      <x:c r="H46" s="28" t="str">
        <x:v>false</x:v>
      </x:c>
      <x:c r="I46" s="29" t="str"/>
    </x:row>
    <x:row r="47">
      <x:c r="A47" s="27" t="str">
        <x:v>HDFC Freedom Credit Card</x:v>
      </x:c>
      <x:c r="B47" s="28" t="str">
        <x:v>Rewards</x:v>
      </x:c>
      <x:c r="C47" s="28" t="str">
        <x:v>HDFC Bank</x:v>
      </x:c>
      <x:c r="D47" s="30" t="str">
        <x:v>48</x:v>
      </x:c>
      <x:c r="E47" s="30" t="str">
        <x:v>8</x:v>
      </x:c>
      <x:c r="F47" s="31" t="str">
        <x:v>4.5</x:v>
      </x:c>
      <x:c r="G47" s="33" t="str">
        <x:v>3.597861</x:v>
      </x:c>
      <x:c r="H47" s="28" t="str">
        <x:v>false</x:v>
      </x:c>
      <x:c r="I47" s="29" t="str"/>
    </x:row>
    <x:row r="48">
      <x:c r="A48" s="27" t="str">
        <x:v>ICICI SAPPHIRO</x:v>
      </x:c>
      <x:c r="B48" s="28" t="str">
        <x:v>Lifestyle</x:v>
      </x:c>
      <x:c r="C48" s="28" t="str">
        <x:v>ICICI</x:v>
      </x:c>
      <x:c r="D48" s="30" t="str">
        <x:v>4</x:v>
      </x:c>
      <x:c r="E48" s="30" t="str">
        <x:v>4</x:v>
      </x:c>
      <x:c r="F48" s="31" t="str">
        <x:v>4.75</x:v>
      </x:c>
      <x:c r="G48" s="33" t="str">
        <x:v>3.489171</x:v>
      </x:c>
      <x:c r="H48" s="28" t="str">
        <x:v>false</x:v>
      </x:c>
      <x:c r="I48" s="29" t="str"/>
    </x:row>
    <x:row r="49">
      <x:c r="A49" s="27" t="str">
        <x:v>HDFC Business Regalia</x:v>
      </x:c>
      <x:c r="B49" s="28" t="str">
        <x:v>Lifestyle</x:v>
      </x:c>
      <x:c r="C49" s="28" t="str">
        <x:v>HDFC Bank</x:v>
      </x:c>
      <x:c r="D49" s="30" t="str">
        <x:v>40</x:v>
      </x:c>
      <x:c r="E49" s="30" t="str">
        <x:v>3</x:v>
      </x:c>
      <x:c r="F49" s="31" t="str">
        <x:v>4.667</x:v>
      </x:c>
      <x:c r="G49" s="33" t="str">
        <x:v>3.423483</x:v>
      </x:c>
      <x:c r="H49" s="28" t="str">
        <x:v>false</x:v>
      </x:c>
      <x:c r="I49" s="29" t="str"/>
    </x:row>
    <x:row r="50">
      <x:c r="A50" s="27" t="str">
        <x:v>HDFC MILLENIA</x:v>
      </x:c>
      <x:c r="B50" s="28" t="str">
        <x:v>Lifestyle + Travel</x:v>
      </x:c>
      <x:c r="C50" s="28" t="str">
        <x:v>HDFC Bank</x:v>
      </x:c>
      <x:c r="D50" s="30" t="str">
        <x:v>91</x:v>
      </x:c>
      <x:c r="E50" s="30" t="str">
        <x:v>1</x:v>
      </x:c>
      <x:c r="F50" s="31" t="str">
        <x:v>5.0</x:v>
      </x:c>
      <x:c r="G50" s="33" t="str">
        <x:v>3.320957</x:v>
      </x:c>
      <x:c r="H50" s="28" t="str">
        <x:v>false</x:v>
      </x:c>
      <x:c r="I50" s="29" t="str"/>
    </x:row>
    <x:row r="51">
      <x:c r="A51" s="27" t="str">
        <x:v>HDFC JET PRIVILEGE DINERS CLUB</x:v>
      </x:c>
      <x:c r="B51" s="28" t="str">
        <x:v>Travel</x:v>
      </x:c>
      <x:c r="C51" s="28" t="str">
        <x:v>HDFC Bank</x:v>
      </x:c>
      <x:c r="D51" s="30" t="str">
        <x:v>14</x:v>
      </x:c>
      <x:c r="E51" s="30" t="str">
        <x:v>14</x:v>
      </x:c>
      <x:c r="F51" s="31" t="str">
        <x:v>1.857</x:v>
      </x:c>
      <x:c r="G51" s="33" t="str">
        <x:v>2.668826</x:v>
      </x:c>
      <x:c r="H51" s="28" t="str">
        <x:v>false</x:v>
      </x:c>
      <x:c r="I51" s="29" t="str"/>
    </x:row>
    <x:row r="52">
      <x:c r="A52" s="27" t="str">
        <x:v>AXIS VISTARA INFINITE</x:v>
      </x:c>
      <x:c r="B52" s="28" t="str">
        <x:v>Travel</x:v>
      </x:c>
      <x:c r="C52" s="28" t="str">
        <x:v>Axis Bank</x:v>
      </x:c>
      <x:c r="D52" s="30" t="str">
        <x:v>143</x:v>
      </x:c>
      <x:c r="E52" s="30" t="str">
        <x:v>0</x:v>
      </x:c>
      <x:c r="F52" s="31" t="str"/>
      <x:c r="G52" s="33" t="str"/>
      <x:c r="H52" s="28" t="str">
        <x:v>false</x:v>
      </x:c>
      <x:c r="I52" s="29" t="str"/>
    </x:row>
    <x:row r="53">
      <x:c r="A53" s="27" t="str">
        <x:v>SC ULTIMATE</x:v>
      </x:c>
      <x:c r="B53" s="28" t="str">
        <x:v>Rewards</x:v>
      </x:c>
      <x:c r="C53" s="28" t="str">
        <x:v>Standard Chartered</x:v>
      </x:c>
      <x:c r="D53" s="30" t="str">
        <x:v>906</x:v>
      </x:c>
      <x:c r="E53" s="30" t="str">
        <x:v>0</x:v>
      </x:c>
      <x:c r="F53" s="31" t="str"/>
      <x:c r="G53" s="33" t="str"/>
      <x:c r="H53" s="28" t="str">
        <x:v>false</x:v>
      </x:c>
      <x:c r="I53" s="29" t="str"/>
    </x:row>
    <x:row r="54">
      <x:c r="A54" s="27" t="str">
        <x:v>CITI PRESTIGE</x:v>
      </x:c>
      <x:c r="B54" s="28" t="str">
        <x:v>Lifestyle</x:v>
      </x:c>
      <x:c r="C54" s="28" t="str">
        <x:v>Citi Bank</x:v>
      </x:c>
      <x:c r="D54" s="30" t="str">
        <x:v>284</x:v>
      </x:c>
      <x:c r="E54" s="30" t="str">
        <x:v>0</x:v>
      </x:c>
      <x:c r="F54" s="31" t="str"/>
      <x:c r="G54" s="33" t="str"/>
      <x:c r="H54" s="28" t="str">
        <x:v>false</x:v>
      </x:c>
      <x:c r="I54" s="29" t="str"/>
    </x:row>
    <x:row r="55">
      <x:c r="A55" s="27" t="str">
        <x:v>HDFC DINERS CLUBMILES</x:v>
      </x:c>
      <x:c r="B55" s="28" t="str">
        <x:v>Travel</x:v>
      </x:c>
      <x:c r="C55" s="28" t="str">
        <x:v>HDFC Bank</x:v>
      </x:c>
      <x:c r="D55" s="30" t="str">
        <x:v>225</x:v>
      </x:c>
      <x:c r="E55" s="30" t="str">
        <x:v>0</x:v>
      </x:c>
      <x:c r="F55" s="31" t="str"/>
      <x:c r="G55" s="33" t="str"/>
      <x:c r="H55" s="28" t="str">
        <x:v>false</x:v>
      </x:c>
      <x:c r="I55" s="29" t="str"/>
    </x:row>
    <x:row r="56">
      <x:c r="A56" s="27" t="str">
        <x:v>AMAZON PAY ICICI CARD</x:v>
      </x:c>
      <x:c r="B56" s="28" t="str">
        <x:v>Shopping</x:v>
      </x:c>
      <x:c r="C56" s="28" t="str">
        <x:v>ICICI</x:v>
      </x:c>
      <x:c r="D56" s="30" t="str">
        <x:v>222</x:v>
      </x:c>
      <x:c r="E56" s="30" t="str">
        <x:v>0</x:v>
      </x:c>
      <x:c r="F56" s="31" t="str"/>
      <x:c r="G56" s="33" t="str"/>
      <x:c r="H56" s="28" t="str">
        <x:v>false</x:v>
      </x:c>
      <x:c r="I56" s="29" t="str"/>
    </x:row>
    <x:row r="57">
      <x:c r="A57" s="27" t="str">
        <x:v>CITIBANK PREMIER MILES</x:v>
      </x:c>
      <x:c r="B57" s="28" t="str">
        <x:v>Travel</x:v>
      </x:c>
      <x:c r="C57" s="28" t="str">
        <x:v>Citi Bank</x:v>
      </x:c>
      <x:c r="D57" s="30" t="str">
        <x:v>102</x:v>
      </x:c>
      <x:c r="E57" s="30" t="str">
        <x:v>0</x:v>
      </x:c>
      <x:c r="F57" s="31" t="str"/>
      <x:c r="G57" s="33" t="str"/>
      <x:c r="H57" s="28" t="str">
        <x:v>false</x:v>
      </x:c>
      <x:c r="I57" s="29" t="str"/>
    </x:row>
    <x:row r="58">
      <x:c r="A58" s="27" t="str">
        <x:v>HDFC INFINIA</x:v>
      </x:c>
      <x:c r="B58" s="28" t="str">
        <x:v>Lifestyle + Travel</x:v>
      </x:c>
      <x:c r="C58" s="28" t="str">
        <x:v>HDFC Bank</x:v>
      </x:c>
      <x:c r="D58" s="30" t="str">
        <x:v>574</x:v>
      </x:c>
      <x:c r="E58" s="30" t="str">
        <x:v>0</x:v>
      </x:c>
      <x:c r="F58" s="31" t="str"/>
      <x:c r="G58" s="33" t="str"/>
      <x:c r="H58" s="28" t="str">
        <x:v>false</x:v>
      </x:c>
      <x:c r="I58" s="29" t="str"/>
    </x:row>
    <x:row r="59">
      <x:c r="A59" s="27" t="str">
        <x:v>INDUSIND ICONIA AMEX</x:v>
      </x:c>
      <x:c r="B59" s="28" t="str">
        <x:v>Lifestyle</x:v>
      </x:c>
      <x:c r="C59" s="28" t="str">
        <x:v>IndusInd Bank</x:v>
      </x:c>
      <x:c r="D59" s="30" t="str">
        <x:v>206</x:v>
      </x:c>
      <x:c r="E59" s="30" t="str">
        <x:v>0</x:v>
      </x:c>
      <x:c r="F59" s="31" t="str"/>
      <x:c r="G59" s="33" t="str"/>
      <x:c r="H59" s="28" t="str">
        <x:v>false</x:v>
      </x:c>
      <x:c r="I59" s="29" t="str"/>
    </x:row>
    <x:row r="60">
      <x:c r="A60" s="5" t="str">
        <x:v>SC MANHATTAN</x:v>
      </x:c>
      <x:c r="B60" s="6" t="str">
        <x:v>Rewards</x:v>
      </x:c>
      <x:c r="C60" s="6" t="str">
        <x:v>Standard Chartered</x:v>
      </x:c>
      <x:c r="D60" s="24" t="str">
        <x:v>56</x:v>
      </x:c>
      <x:c r="E60" s="24" t="str">
        <x:v>0</x:v>
      </x:c>
      <x:c r="F60" s="32" t="str"/>
      <x:c r="G60" s="34" t="str"/>
      <x:c r="H60" s="6" t="str">
        <x:v>false</x:v>
      </x:c>
      <x:c r="I60" s="7" t="str"/>
    </x:row>
  </x:sheetData>
  <x:pageMargins left="0.7" right="0.7" top="0.75" bottom="0.75" header="0.3" footer="0.3"/>
  <x:tableParts count="1">
    <x:tablePart xmlns:r="http://schemas.openxmlformats.org/officeDocument/2006/relationships" r:id="R01859ddd7f2842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7" hidden="0" customWidth="1"/>
    <x:col min="3" max="3" width="27" hidden="0" customWidth="1"/>
    <x:col min="4" max="4" width="27" hidden="0" customWidth="1"/>
    <x:col min="5" max="5" width="20" hidden="0" customWidth="1"/>
    <x:col min="6" max="6" width="20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42" hidden="0" customWidth="1"/>
    <x:col min="12" max="12" width="55" hidden="0" customWidth="1"/>
  </x:cols>
  <x:sheetData>
    <x:row r="1">
      <x:c r="A1" s="20" t="str">
        <x:v>review_rank</x:v>
      </x:c>
      <x:c r="B1" s="21" t="str">
        <x:v>reviewed_card</x:v>
      </x:c>
      <x:c r="C1" s="21" t="str">
        <x:v>current_product</x:v>
      </x:c>
      <x:c r="D1" s="21" t="str">
        <x:v>product_status</x:v>
      </x:c>
      <x:c r="E1" s="21" t="str">
        <x:v>monthly_finance_charge</x:v>
      </x:c>
      <x:c r="F1" s="21" t="str">
        <x:v>effective_annualized_rate</x:v>
      </x:c>
      <x:c r="G1" s="21" t="str">
        <x:v>annual_fee_inr</x:v>
      </x:c>
      <x:c r="H1" s="21" t="str">
        <x:v>fee_waiver_spend_inr</x:v>
      </x:c>
      <x:c r="I1" s="21" t="str">
        <x:v>welcome_offer</x:v>
      </x:c>
      <x:c r="J1" s="21" t="str">
        <x:v>rewards_summary</x:v>
      </x:c>
      <x:c r="K1" s="21" t="str">
        <x:v>benefits_summary</x:v>
      </x:c>
      <x:c r="L1" s="22" t="str">
        <x:v>source_url</x:v>
      </x:c>
    </x:row>
    <x:row r="2" ht="48" customHeight="1">
      <x:c r="A2" s="27" t="str">
        <x:v>1</x:v>
      </x:c>
      <x:c r="B2" s="28" t="str">
        <x:v>Axis Bank Myzone Credit card</x:v>
      </x:c>
      <x:c r="C2" s="28" t="str">
        <x:v>Axis Bank My Zone</x:v>
      </x:c>
      <x:c r="D2" s="28" t="str">
        <x:v>Current</x:v>
      </x:c>
      <x:c r="E2" s="41" t="str">
        <x:v>0.0375</x:v>
      </x:c>
      <x:c r="F2" s="41" t="str">
        <x:v>0.55545433137247513</x:v>
      </x:c>
      <x:c r="G2" s="43" t="str">
        <x:v>500</x:v>
      </x:c>
      <x:c r="H2" s="43" t="str"/>
      <x:c r="I2" s="45" t="str">
        <x:v>SonyLIV annual subscription valued at ₹1,499</x:v>
      </x:c>
      <x:c r="J2" s="45" t="str">
        <x:v>4 EDGE points per ₹200 plus 1,000 milestone points at ₹1.5 lakh annual spend</x:v>
      </x:c>
      <x:c r="K2" s="45" t="str">
        <x:v>SonyLIV; District BOGO; Swiggy discount; conditional domestic lounge; fuel waiver</x:v>
      </x:c>
      <x:c r="L2" s="46" t="str">
        <x:v>https://www.axis.bank.in/cards/credit-card/axis-bank-my-zone-credit-card</x:v>
      </x:c>
    </x:row>
    <x:row r="3" ht="48" customHeight="1">
      <x:c r="A3" s="27" t="str">
        <x:v>2</x:v>
      </x:c>
      <x:c r="B3" s="28" t="str">
        <x:v>ICICI CORAL VISA CONTACTLESS</x:v>
      </x:c>
      <x:c r="C3" s="28" t="str">
        <x:v>ICICI Bank Coral</x:v>
      </x:c>
      <x:c r="D3" s="28" t="str">
        <x:v>Current</x:v>
      </x:c>
      <x:c r="E3" s="41" t="str">
        <x:v>0.0375</x:v>
      </x:c>
      <x:c r="F3" s="41" t="str">
        <x:v>0.55545433137247513</x:v>
      </x:c>
      <x:c r="G3" s="43" t="str">
        <x:v>500</x:v>
      </x:c>
      <x:c r="H3" s="43" t="str">
        <x:v>150000</x:v>
      </x:c>
      <x:c r="I3" s="45" t="str">
        <x:v>No separate welcome gift listed</x:v>
      </x:c>
      <x:c r="J3" s="45" t="str">
        <x:v>2 points per ₹100 retail and 1 point per ₹100 utility or insurance</x:v>
      </x:c>
      <x:c r="K3" s="45" t="str">
        <x:v>Conditional lounge; movies; railway lounge; fuel waiver</x:v>
      </x:c>
      <x:c r="L3" s="46" t="str">
        <x:v>https://www.icici.bank.in/personal-banking/cards/credit-card/coral-credit-card</x:v>
      </x:c>
    </x:row>
    <x:row r="4" ht="48" customHeight="1">
      <x:c r="A4" s="27" t="str">
        <x:v>3</x:v>
      </x:c>
      <x:c r="B4" s="28" t="str">
        <x:v>SBI ELITE</x:v>
      </x:c>
      <x:c r="C4" s="28" t="str">
        <x:v>SBI Card ELITE</x:v>
      </x:c>
      <x:c r="D4" s="28" t="str">
        <x:v>Current</x:v>
      </x:c>
      <x:c r="E4" s="41" t="str">
        <x:v>0.0375</x:v>
      </x:c>
      <x:c r="F4" s="41" t="str">
        <x:v>0.55545433137247513</x:v>
      </x:c>
      <x:c r="G4" s="43" t="str">
        <x:v>4999</x:v>
      </x:c>
      <x:c r="H4" s="43" t="str">
        <x:v>1000000</x:v>
      </x:c>
      <x:c r="I4" s="45" t="str">
        <x:v>₹5,000 e-gift voucher</x:v>
      </x:c>
      <x:c r="J4" s="45" t="str">
        <x:v>5X points on dining, department stores, and grocery plus milestone rewards</x:v>
      </x:c>
      <x:c r="K4" s="45" t="str">
        <x:v>Movie tickets and premium lifestyle benefits</x:v>
      </x:c>
      <x:c r="L4" s="46" t="str">
        <x:v>https://www.sbicard.com/en/personal/credit-cards/sbi-card-elite.html</x:v>
      </x:c>
    </x:row>
    <x:row r="5" ht="48" customHeight="1">
      <x:c r="A5" s="27" t="str">
        <x:v>4</x:v>
      </x:c>
      <x:c r="B5" s="28" t="str">
        <x:v>CITIBANK PREMIERMILES</x:v>
      </x:c>
      <x:c r="C5" s="28" t="str">
        <x:v>Axis Bank Horizon</x:v>
      </x:c>
      <x:c r="D5" s="28" t="str">
        <x:v>Legacy card migrated</x:v>
      </x:c>
      <x:c r="E5" s="41" t="str">
        <x:v>0.0375</x:v>
      </x:c>
      <x:c r="F5" s="41" t="str">
        <x:v>0.55545433137247513</x:v>
      </x:c>
      <x:c r="G5" s="43" t="str">
        <x:v>3000</x:v>
      </x:c>
      <x:c r="H5" s="43" t="str"/>
      <x:c r="I5" s="45" t="str">
        <x:v>5,000 EDGE Miles</x:v>
      </x:c>
      <x:c r="J5" s="45" t="str">
        <x:v>5 EDGE Miles per ₹100 on Travel EDGE or direct airlines and 2 elsewhere</x:v>
      </x:c>
      <x:c r="K5" s="45" t="str">
        <x:v>Domestic and international lounges; fuel waiver; lost-card liability cover</x:v>
      </x:c>
      <x:c r="L5" s="46" t="str">
        <x:v>https://www.axis.bank.in/cards/credit-card/axis-horizon-credit-card</x:v>
      </x:c>
    </x:row>
    <x:row r="6" ht="48" customHeight="1">
      <x:c r="A6" s="5" t="str">
        <x:v>5</x:v>
      </x:c>
      <x:c r="B6" s="6" t="str">
        <x:v>AXIS FLIPKART</x:v>
      </x:c>
      <x:c r="C6" s="6" t="str">
        <x:v>Flipkart Axis Bank</x:v>
      </x:c>
      <x:c r="D6" s="6" t="str">
        <x:v>Current</x:v>
      </x:c>
      <x:c r="E6" s="42" t="str">
        <x:v>0.0375</x:v>
      </x:c>
      <x:c r="F6" s="42" t="str">
        <x:v>0.55545433137247513</x:v>
      </x:c>
      <x:c r="G6" s="44" t="str">
        <x:v>500</x:v>
      </x:c>
      <x:c r="H6" s="44" t="str">
        <x:v>350000</x:v>
      </x:c>
      <x:c r="I6" s="47" t="str">
        <x:v>Current activation value starts at ₹100</x:v>
      </x:c>
      <x:c r="J6" s="47" t="str">
        <x:v>7.5% Myntra; 5% Flipkart and Cleartrip; 4% preferred merchants; 1% eligible other spend</x:v>
      </x:c>
      <x:c r="K6" s="47" t="str">
        <x:v>Limited-period nil joining fee; fuel waiver</x:v>
      </x:c>
      <x:c r="L6" s="48" t="str">
        <x:v>https://www.axis.bank.in/cards/credit-card/flipkart-axisbank-credit-card</x:v>
      </x:c>
    </x:row>
  </x:sheetData>
  <x:pageMargins left="0.7" right="0.7" top="0.75" bottom="0.75" header="0.3" footer="0.3"/>
  <x:tableParts count="1">
    <x:tablePart xmlns:r="http://schemas.openxmlformats.org/officeDocument/2006/relationships" r:id="Rf3d354bff45c4c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26" hidden="0" customWidth="1"/>
    <x:col min="4" max="4" width="60" hidden="0" customWidth="1"/>
  </x:cols>
  <x:sheetData>
    <x:row r="1">
      <x:c r="A1" s="20" t="str">
        <x:v>display_order</x:v>
      </x:c>
      <x:c r="B1" s="21" t="str">
        <x:v>category</x:v>
      </x:c>
      <x:c r="C1" s="21" t="str">
        <x:v>leader</x:v>
      </x:c>
      <x:c r="D1" s="22" t="str">
        <x:v>reason</x:v>
      </x:c>
    </x:row>
    <x:row r="2" ht="34" customHeight="1">
      <x:c r="A2" s="27" t="str">
        <x:v>1</x:v>
      </x:c>
      <x:c r="B2" s="45" t="str">
        <x:v>Highest review rating</x:v>
      </x:c>
      <x:c r="C2" s="45" t="str">
        <x:v>Axis Bank My Zone</x:v>
      </x:c>
      <x:c r="D2" s="46" t="str">
        <x:v>4.70 average from 20 numeric ratings</x:v>
      </x:c>
    </x:row>
    <x:row r="3" ht="34" customHeight="1">
      <x:c r="A3" s="27" t="str">
        <x:v>2</x:v>
      </x:c>
      <x:c r="B3" s="45" t="str">
        <x:v>Most reviewed among the top five</x:v>
      </x:c>
      <x:c r="C3" s="45" t="str">
        <x:v>SBI Card ELITE</x:v>
      </x:c>
      <x:c r="D3" s="46" t="str">
        <x:v>124 review rows</x:v>
      </x:c>
    </x:row>
    <x:row r="4" ht="34" customHeight="1">
      <x:c r="A4" s="27" t="str">
        <x:v>3</x:v>
      </x:c>
      <x:c r="B4" s="45" t="str">
        <x:v>Lowest borrowing cost</x:v>
      </x:c>
      <x:c r="C4" s="45" t="str">
        <x:v>Five-way tie</x:v>
      </x:c>
      <x:c r="D4" s="46" t="str">
        <x:v>Each current product lists a 3.75% monthly finance charge</x:v>
      </x:c>
    </x:row>
    <x:row r="5" ht="34" customHeight="1">
      <x:c r="A5" s="27" t="str">
        <x:v>4</x:v>
      </x:c>
      <x:c r="B5" s="45" t="str">
        <x:v>Best ongoing fee and waiver</x:v>
      </x:c>
      <x:c r="C5" s="45" t="str">
        <x:v>ICICI Bank Coral</x:v>
      </x:c>
      <x:c r="D5" s="46" t="str">
        <x:v>₹500 annual fee, waived at ₹1.5 lakh annual spend</x:v>
      </x:c>
    </x:row>
    <x:row r="6" ht="34" customHeight="1">
      <x:c r="A6" s="27" t="str">
        <x:v>5</x:v>
      </x:c>
      <x:c r="B6" s="45" t="str">
        <x:v>Best welcome offer</x:v>
      </x:c>
      <x:c r="C6" s="45" t="str">
        <x:v>SBI Card ELITE</x:v>
      </x:c>
      <x:c r="D6" s="46" t="str">
        <x:v>₹5,000 e-gift voucher</x:v>
      </x:c>
    </x:row>
    <x:row r="7" ht="34" customHeight="1">
      <x:c r="A7" s="27" t="str">
        <x:v>6</x:v>
      </x:c>
      <x:c r="B7" s="45" t="str">
        <x:v>Best shopping rewards</x:v>
      </x:c>
      <x:c r="C7" s="45" t="str">
        <x:v>Flipkart Axis Bank</x:v>
      </x:c>
      <x:c r="D7" s="46" t="str">
        <x:v>Strong explicit partner cashback rates</x:v>
      </x:c>
    </x:row>
    <x:row r="8" ht="34" customHeight="1">
      <x:c r="A8" s="27" t="str">
        <x:v>7</x:v>
      </x:c>
      <x:c r="B8" s="45" t="str">
        <x:v>Broadest lifestyle benefits</x:v>
      </x:c>
      <x:c r="C8" s="45" t="str">
        <x:v>SBI Card ELITE</x:v>
      </x:c>
      <x:c r="D8" s="46" t="str">
        <x:v>Welcome voucher, movies, accelerated rewards, and milestones</x:v>
      </x:c>
    </x:row>
    <x:row r="9" ht="34" customHeight="1">
      <x:c r="A9" s="5" t="str">
        <x:v>8</x:v>
      </x:c>
      <x:c r="B9" s="47" t="str">
        <x:v>Best travel package</x:v>
      </x:c>
      <x:c r="C9" s="47" t="str">
        <x:v>Axis Bank Horizon</x:v>
      </x:c>
      <x:c r="D9" s="48" t="str">
        <x:v>Travel miles and lounge access; successor caveat applies</x:v>
      </x:c>
    </x:row>
  </x:sheetData>
  <x:pageMargins left="0.7" right="0.7" top="0.75" bottom="0.75" header="0.3" footer="0.3"/>
  <x:tableParts count="1">
    <x:tablePart xmlns:r="http://schemas.openxmlformats.org/officeDocument/2006/relationships" r:id="R2f095e20ba6742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23" hidden="0" customWidth="1"/>
    <x:col min="4" max="4" width="33" hidden="0" customWidth="1"/>
    <x:col min="5" max="5" width="33" hidden="0" customWidth="1"/>
    <x:col min="6" max="6" width="33" hidden="0" customWidth="1"/>
    <x:col min="7" max="7" width="12" hidden="0" customWidth="1"/>
  </x:cols>
  <x:sheetData>
    <x:row r="1">
      <x:c r="A1" s="51" t="str">
        <x:v>Google BigQuery SQL Methodology</x:v>
      </x:c>
      <x:c r="B1" s="51" t="str">
        <x:v>Google BigQuery SQL Methodology</x:v>
      </x:c>
      <x:c r="C1" s="51" t="str">
        <x:v>Google BigQuery SQL Methodology</x:v>
      </x:c>
      <x:c r="D1" s="51" t="str">
        <x:v>Google BigQuery SQL Methodology</x:v>
      </x:c>
      <x:c r="E1" s="51" t="str">
        <x:v>Google BigQuery SQL Methodology</x:v>
      </x:c>
      <x:c r="F1" s="51" t="str">
        <x:v>Google BigQuery SQL Methodology</x:v>
      </x:c>
      <x:c r="G1" s="51" t="str">
        <x:v>Google BigQuery SQL Methodology</x:v>
      </x:c>
    </x:row>
    <x:row r="2">
      <x:c r="A2" s="51" t="str">
        <x:v>Google BigQuery SQL Methodology</x:v>
      </x:c>
      <x:c r="B2" s="51" t="str">
        <x:v>Google BigQuery SQL Methodology</x:v>
      </x:c>
      <x:c r="C2" s="51" t="str">
        <x:v>Google BigQuery SQL Methodology</x:v>
      </x:c>
      <x:c r="D2" s="51" t="str">
        <x:v>Google BigQuery SQL Methodology</x:v>
      </x:c>
      <x:c r="E2" s="51" t="str">
        <x:v>Google BigQuery SQL Methodology</x:v>
      </x:c>
      <x:c r="F2" s="51" t="str">
        <x:v>Google BigQuery SQL Methodology</x:v>
      </x:c>
      <x:c r="G2" s="51" t="str">
        <x:v>Google BigQuery SQL Methodology</x:v>
      </x:c>
    </x:row>
    <x:row r="3">
      <x:c r="A3" s="54" t="str">
        <x:v>Validated in Google BigQuery on 2026-08-15 | Standard SQL only</x:v>
      </x:c>
      <x:c r="B3" s="54" t="str">
        <x:v>Validated in Google BigQuery on 2026-08-15 | Standard SQL only</x:v>
      </x:c>
      <x:c r="C3" s="54" t="str">
        <x:v>Validated in Google BigQuery on 2026-08-15 | Standard SQL only</x:v>
      </x:c>
      <x:c r="D3" s="54" t="str">
        <x:v>Validated in Google BigQuery on 2026-08-15 | Standard SQL only</x:v>
      </x:c>
      <x:c r="E3" s="54" t="str">
        <x:v>Validated in Google BigQuery on 2026-08-15 | Standard SQL only</x:v>
      </x:c>
      <x:c r="F3" s="54" t="str">
        <x:v>Validated in Google BigQuery on 2026-08-15 | Standard SQL only</x:v>
      </x:c>
      <x:c r="G3" s="54" t="str">
        <x:v>Validated in Google BigQuery on 2026-08-15 | Standard SQL only</x:v>
      </x:c>
    </x:row>
    <x:row r="5">
      <x:c r="A5" s="63" t="str">
        <x:v>Step</x:v>
      </x:c>
      <x:c r="B5" s="64" t="str">
        <x:v>SQL file</x:v>
      </x:c>
      <x:c r="C5" s="64" t="str">
        <x:v>BigQuery object</x:v>
      </x:c>
      <x:c r="D5" s="64" t="str">
        <x:v>Purpose</x:v>
      </x:c>
      <x:c r="E5" s="64" t="str">
        <x:v>Key rule</x:v>
      </x:c>
      <x:c r="F5" s="64" t="str">
        <x:v>Validation</x:v>
      </x:c>
      <x:c r="G5" s="65" t="str">
        <x:v>Status</x:v>
      </x:c>
    </x:row>
    <x:row r="6">
      <x:c r="A6" s="66" t="n">
        <x:v>1</x:v>
      </x:c>
      <x:c r="B6" s="67" t="str">
        <x:v>00_setup_and_load.sql</x:v>
      </x:c>
      <x:c r="C6" s="67" t="str">
        <x:v>raw_reviews</x:v>
      </x:c>
      <x:c r="D6" s="67" t="str">
        <x:v>Create the dataset and load the CSV</x:v>
      </x:c>
      <x:c r="E6" s="67" t="str">
        <x:v>Explicit nine-column schema; quoted newlines</x:v>
      </x:c>
      <x:c r="F6" s="67" t="str">
        <x:v>7,513 input rows</x:v>
      </x:c>
      <x:c r="G6" s="77" t="str">
        <x:v>PASS</x:v>
      </x:c>
    </x:row>
    <x:row r="7">
      <x:c r="A7" s="69" t="n">
        <x:v>2</x:v>
      </x:c>
      <x:c r="B7" s="45" t="str">
        <x:v>01_clean_reviews.sql</x:v>
      </x:c>
      <x:c r="C7" s="45" t="str">
        <x:v>cleaned_reviews</x:v>
      </x:c>
      <x:c r="D7" s="45" t="str">
        <x:v>Trim fields and safely parse ratings</x:v>
      </x:c>
      <x:c r="E7" s="45" t="str">
        <x:v>0–5 scale; half-points retained; SAFE_CAST</x:v>
      </x:c>
      <x:c r="F7" s="45" t="str">
        <x:v>1,616 numeric ratings</x:v>
      </x:c>
      <x:c r="G7" s="78" t="str">
        <x:v>PASS</x:v>
      </x:c>
    </x:row>
    <x:row r="8">
      <x:c r="A8" s="69" t="n">
        <x:v>3</x:v>
      </x:c>
      <x:c r="B8" s="45" t="str">
        <x:v>02_rank_cards.sql</x:v>
      </x:c>
      <x:c r="C8" s="45" t="str">
        <x:v>card_ranking</x:v>
      </x:c>
      <x:c r="D8" s="45" t="str">
        <x:v>Aggregate and rank cards</x:v>
      </x:c>
      <x:c r="E8" s="45" t="str">
        <x:v>20-rating threshold; 20-rating prior</x:v>
      </x:c>
      <x:c r="F8" s="45" t="str">
        <x:v>59 distinct cards</x:v>
      </x:c>
      <x:c r="G8" s="78" t="str">
        <x:v>PASS</x:v>
      </x:c>
    </x:row>
    <x:row r="9">
      <x:c r="A9" s="69" t="n">
        <x:v>4</x:v>
      </x:c>
      <x:c r="B9" s="45" t="str">
        <x:v>03_current_terms.sql</x:v>
      </x:c>
      <x:c r="C9" s="45" t="str">
        <x:v>current_terms</x:v>
      </x:c>
      <x:c r="D9" s="45" t="str">
        <x:v>Store verified current issuer terms</x:v>
      </x:c>
      <x:c r="E9" s="45" t="str">
        <x:v>Official issuer pages only</x:v>
      </x:c>
      <x:c r="F9" s="45" t="str">
        <x:v>Five products</x:v>
      </x:c>
      <x:c r="G9" s="78" t="str">
        <x:v>PASS</x:v>
      </x:c>
    </x:row>
    <x:row r="10">
      <x:c r="A10" s="69" t="n">
        <x:v>5</x:v>
      </x:c>
      <x:c r="B10" s="45" t="str">
        <x:v>04_category_leaders.sql</x:v>
      </x:c>
      <x:c r="C10" s="45" t="str">
        <x:v>category_leaders</x:v>
      </x:c>
      <x:c r="D10" s="45" t="str">
        <x:v>Record comparison winners</x:v>
      </x:c>
      <x:c r="E10" s="45" t="str">
        <x:v>Separate review and current-value measures</x:v>
      </x:c>
      <x:c r="F10" s="45" t="str">
        <x:v>Eight categories</x:v>
      </x:c>
      <x:c r="G10" s="78" t="str">
        <x:v>PASS</x:v>
      </x:c>
    </x:row>
    <x:row r="11">
      <x:c r="A11" s="69" t="n">
        <x:v>6</x:v>
      </x:c>
      <x:c r="B11" s="45" t="str">
        <x:v>05_create_outputs.sql</x:v>
      </x:c>
      <x:c r="C11" s="45" t="str">
        <x:v>views</x:v>
      </x:c>
      <x:c r="D11" s="45" t="str">
        <x:v>Create top-five and dashboard views</x:v>
      </x:c>
      <x:c r="E11" s="45" t="str">
        <x:v>Traceable joins by eligible rank</x:v>
      </x:c>
      <x:c r="F11" s="45" t="str">
        <x:v>Top five ordered</x:v>
      </x:c>
      <x:c r="G11" s="78" t="str">
        <x:v>PASS</x:v>
      </x:c>
    </x:row>
    <x:row r="12">
      <x:c r="A12" s="70" t="n">
        <x:v>7</x:v>
      </x:c>
      <x:c r="B12" s="47" t="str">
        <x:v>06_validate.sql</x:v>
      </x:c>
      <x:c r="C12" s="47" t="str">
        <x:v>assertions</x:v>
      </x:c>
      <x:c r="D12" s="47" t="str">
        <x:v>Stop on unexpected data or ranking</x:v>
      </x:c>
      <x:c r="E12" s="47" t="str">
        <x:v>Counts, mean, and exact card order</x:v>
      </x:c>
      <x:c r="F12" s="47" t="str">
        <x:v>All assertions</x:v>
      </x:c>
      <x:c r="G12" s="79" t="str">
        <x:v>PASS</x:v>
      </x:c>
    </x:row>
    <x:row r="14">
      <x:c r="A14" s="82" t="str">
        <x:v>Bayesian score = (n × card mean + 20 × global mean) ÷ (n + 20)</x:v>
      </x:c>
      <x:c r="B14" s="82" t="str">
        <x:v>Bayesian score = (n × card mean + 20 × global mean) ÷ (n + 20)</x:v>
      </x:c>
      <x:c r="C14" s="82" t="str">
        <x:v>Bayesian score = (n × card mean + 20 × global mean) ÷ (n + 20)</x:v>
      </x:c>
      <x:c r="D14" s="82" t="str">
        <x:v>Bayesian score = (n × card mean + 20 × global mean) ÷ (n + 20)</x:v>
      </x:c>
      <x:c r="E14" s="82" t="str">
        <x:v>Bayesian score = (n × card mean + 20 × global mean) ÷ (n + 20)</x:v>
      </x:c>
      <x:c r="F14" s="82" t="str">
        <x:v>Bayesian score = (n × card mean + 20 × global mean) ÷ (n + 20)</x:v>
      </x:c>
      <x:c r="G14" s="82" t="str">
        <x:v>Bayesian score = (n × card mean + 20 × global mean) ÷ (n + 20)</x:v>
      </x:c>
    </x:row>
    <x:row r="16">
      <x:c r="A16" s="86" t="str">
        <x:v>Interpretation: the ranking identifies the strongest eligible review scores in this historical sample. It does not establish market share, causation, or the five best cards currently available.</x:v>
      </x:c>
      <x:c r="B16" s="86" t="str">
        <x:v>Interpretation: the ranking identifies the strongest eligible review scores in this historical sample. It does not establish market share, causation, or the five best cards currently available.</x:v>
      </x:c>
      <x:c r="C16" s="86" t="str">
        <x:v>Interpretation: the ranking identifies the strongest eligible review scores in this historical sample. It does not establish market share, causation, or the five best cards currently available.</x:v>
      </x:c>
      <x:c r="D16" s="86" t="str">
        <x:v>Interpretation: the ranking identifies the strongest eligible review scores in this historical sample. It does not establish market share, causation, or the five best cards currently available.</x:v>
      </x:c>
      <x:c r="E16" s="86" t="str">
        <x:v>Interpretation: the ranking identifies the strongest eligible review scores in this historical sample. It does not establish market share, causation, or the five best cards currently available.</x:v>
      </x:c>
      <x:c r="F16" s="86" t="str">
        <x:v>Interpretation: the ranking identifies the strongest eligible review scores in this historical sample. It does not establish market share, causation, or the five best cards currently available.</x:v>
      </x:c>
      <x:c r="G16" s="86" t="str">
        <x:v>Interpretation: the ranking identifies the strongest eligible review scores in this historical sample. It does not establish market share, causation, or the five best cards currently available.</x:v>
      </x:c>
    </x:row>
    <x:row r="17">
      <x:c r="A17" s="86" t="str">
        <x:v>Interpretation: the ranking identifies the strongest eligible review scores in this historical sample. It does not establish market share, causation, or the five best cards currently available.</x:v>
      </x:c>
      <x:c r="B17" s="86" t="str">
        <x:v>Interpretation: the ranking identifies the strongest eligible review scores in this historical sample. It does not establish market share, causation, or the five best cards currently available.</x:v>
      </x:c>
      <x:c r="C17" s="86" t="str">
        <x:v>Interpretation: the ranking identifies the strongest eligible review scores in this historical sample. It does not establish market share, causation, or the five best cards currently available.</x:v>
      </x:c>
      <x:c r="D17" s="86" t="str">
        <x:v>Interpretation: the ranking identifies the strongest eligible review scores in this historical sample. It does not establish market share, causation, or the five best cards currently available.</x:v>
      </x:c>
      <x:c r="E17" s="86" t="str">
        <x:v>Interpretation: the ranking identifies the strongest eligible review scores in this historical sample. It does not establish market share, causation, or the five best cards currently available.</x:v>
      </x:c>
      <x:c r="F17" s="86" t="str">
        <x:v>Interpretation: the ranking identifies the strongest eligible review scores in this historical sample. It does not establish market share, causation, or the five best cards currently available.</x:v>
      </x:c>
      <x:c r="G17" s="86" t="str">
        <x:v>Interpretation: the ranking identifies the strongest eligible review scores in this historical sample. It does not establish market share, causation, or the five best cards currently available.</x:v>
      </x:c>
    </x:row>
  </x:sheetData>
  <x:mergeCells>
    <x:mergeCell ref="A1:G2"/>
    <x:mergeCell ref="A3:G3"/>
    <x:mergeCell ref="A14:G14"/>
    <x:mergeCell ref="A16:G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68" hidden="0" customWidth="1"/>
    <x:col min="4" max="4" width="34" hidden="0" customWidth="1"/>
  </x:cols>
  <x:sheetData>
    <x:row r="1">
      <x:c r="A1" s="51" t="str">
        <x:v>Sources and Audit Trail</x:v>
      </x:c>
      <x:c r="B1" s="51" t="str">
        <x:v>Sources and Audit Trail</x:v>
      </x:c>
      <x:c r="C1" s="51" t="str">
        <x:v>Sources and Audit Trail</x:v>
      </x:c>
      <x:c r="D1" s="51" t="str">
        <x:v>Sources and Audit Trail</x:v>
      </x:c>
    </x:row>
    <x:row r="2">
      <x:c r="A2" s="51" t="str">
        <x:v>Sources and Audit Trail</x:v>
      </x:c>
      <x:c r="B2" s="51" t="str">
        <x:v>Sources and Audit Trail</x:v>
      </x:c>
      <x:c r="C2" s="51" t="str">
        <x:v>Sources and Audit Trail</x:v>
      </x:c>
      <x:c r="D2" s="51" t="str">
        <x:v>Sources and Audit Trail</x:v>
      </x:c>
    </x:row>
    <x:row r="3">
      <x:c r="A3" s="53" t="str">
        <x:v>Issuer terms were checked on 2026-08-15. Recheck before making a consumer decision.</x:v>
      </x:c>
      <x:c r="B3" s="53" t="str">
        <x:v>Issuer terms were checked on 2026-08-15. Recheck before making a consumer decision.</x:v>
      </x:c>
      <x:c r="C3" s="53" t="str">
        <x:v>Issuer terms were checked on 2026-08-15. Recheck before making a consumer decision.</x:v>
      </x:c>
      <x:c r="D3" s="53" t="str">
        <x:v>Issuer terms were checked on 2026-08-15. Recheck before making a consumer decision.</x:v>
      </x:c>
    </x:row>
    <x:row r="5">
      <x:c r="A5" s="63" t="str">
        <x:v>Item</x:v>
      </x:c>
      <x:c r="B5" s="64" t="str">
        <x:v>Source</x:v>
      </x:c>
      <x:c r="C5" s="64" t="str">
        <x:v>URL</x:v>
      </x:c>
      <x:c r="D5" s="65" t="str">
        <x:v>Use in analysis</x:v>
      </x:c>
    </x:row>
    <x:row r="6" ht="38" customHeight="1">
      <x:c r="A6" s="66" t="str">
        <x:v>Review dataset</x:v>
      </x:c>
      <x:c r="B6" s="67" t="str">
        <x:v>Kaggle — Credit Card Reviews</x:v>
      </x:c>
      <x:c r="C6" s="67" t="str">
        <x:v>https://www.kaggle.com/datasets/arjunanc/credit-card-reviews</x:v>
      </x:c>
      <x:c r="D6" s="68" t="str">
        <x:v>Consumer reviews and ratings</x:v>
      </x:c>
    </x:row>
    <x:row r="7" ht="38" customHeight="1">
      <x:c r="A7" s="69" t="str">
        <x:v>Axis My Zone</x:v>
      </x:c>
      <x:c r="B7" s="45" t="str">
        <x:v>Axis Bank</x:v>
      </x:c>
      <x:c r="C7" s="45" t="str">
        <x:v>https://www.axis.bank.in/cards/credit-card/axis-bank-my-zone-credit-card</x:v>
      </x:c>
      <x:c r="D7" s="46" t="str">
        <x:v>Fees, finance charge, rewards, benefits</x:v>
      </x:c>
    </x:row>
    <x:row r="8" ht="38" customHeight="1">
      <x:c r="A8" s="69" t="str">
        <x:v>ICICI Coral</x:v>
      </x:c>
      <x:c r="B8" s="45" t="str">
        <x:v>ICICI Bank</x:v>
      </x:c>
      <x:c r="C8" s="45" t="str">
        <x:v>https://www.icici.bank.in/personal-banking/cards/credit-card/coral-credit-card</x:v>
      </x:c>
      <x:c r="D8" s="46" t="str">
        <x:v>Fees, waiver, rewards, benefits</x:v>
      </x:c>
    </x:row>
    <x:row r="9" ht="38" customHeight="1">
      <x:c r="A9" s="69" t="str">
        <x:v>SBI ELITE</x:v>
      </x:c>
      <x:c r="B9" s="45" t="str">
        <x:v>SBI Card</x:v>
      </x:c>
      <x:c r="C9" s="45" t="str">
        <x:v>https://www.sbicard.com/en/personal/credit-cards/sbi-card-elite.html</x:v>
      </x:c>
      <x:c r="D9" s="46" t="str">
        <x:v>Welcome offer, fee, rewards, benefits</x:v>
      </x:c>
    </x:row>
    <x:row r="10" ht="38" customHeight="1">
      <x:c r="A10" s="69" t="str">
        <x:v>SBI finance charge</x:v>
      </x:c>
      <x:c r="B10" s="45" t="str">
        <x:v>SBI Card</x:v>
      </x:c>
      <x:c r="C10" s="45" t="str">
        <x:v>https://www.sbicard.com/en/most-important-terms-and-conditions.page</x:v>
      </x:c>
      <x:c r="D10" s="46" t="str">
        <x:v>Monthly finance charge</x:v>
      </x:c>
    </x:row>
    <x:row r="11" ht="38" customHeight="1">
      <x:c r="A11" s="69" t="str">
        <x:v>Citi migration</x:v>
      </x:c>
      <x:c r="B11" s="45" t="str">
        <x:v>Axis Bank</x:v>
      </x:c>
      <x:c r="C11" s="45" t="str">
        <x:v>https://www.axis.bank.in/forward-together</x:v>
      </x:c>
      <x:c r="D11" s="46" t="str">
        <x:v>PremierMiles successor mapping</x:v>
      </x:c>
    </x:row>
    <x:row r="12" ht="38" customHeight="1">
      <x:c r="A12" s="69" t="str">
        <x:v>Axis Horizon</x:v>
      </x:c>
      <x:c r="B12" s="45" t="str">
        <x:v>Axis Bank</x:v>
      </x:c>
      <x:c r="C12" s="45" t="str">
        <x:v>https://www.axis.bank.in/cards/credit-card/axis-horizon-credit-card</x:v>
      </x:c>
      <x:c r="D12" s="46" t="str">
        <x:v>Current successor terms</x:v>
      </x:c>
    </x:row>
    <x:row r="13" ht="38" customHeight="1">
      <x:c r="A13" s="69" t="str">
        <x:v>Flipkart Axis</x:v>
      </x:c>
      <x:c r="B13" s="45" t="str">
        <x:v>Axis Bank</x:v>
      </x:c>
      <x:c r="C13" s="45" t="str">
        <x:v>https://www.axis.bank.in/cards/credit-card/flipkart-axisbank-credit-card</x:v>
      </x:c>
      <x:c r="D13" s="46" t="str">
        <x:v>Fees, cashback, benefits</x:v>
      </x:c>
    </x:row>
    <x:row r="14" ht="38" customHeight="1">
      <x:c r="A14" s="69" t="str">
        <x:v>BigQuery load</x:v>
      </x:c>
      <x:c r="B14" s="45" t="str">
        <x:v>Google Cloud</x:v>
      </x:c>
      <x:c r="C14" s="45" t="str">
        <x:v>https://cloud.google.com/bigquery/docs/reference/standard-sql/load-statements</x:v>
      </x:c>
      <x:c r="D14" s="46" t="str">
        <x:v>CSV load options</x:v>
      </x:c>
    </x:row>
    <x:row r="15" ht="38" customHeight="1">
      <x:c r="A15" s="70" t="str">
        <x:v>BigQuery assertions</x:v>
      </x:c>
      <x:c r="B15" s="47" t="str">
        <x:v>Google Cloud</x:v>
      </x:c>
      <x:c r="C15" s="47" t="str">
        <x:v>https://cloud.google.com/bigquery/docs/reference/standard-sql/debugging-statements</x:v>
      </x:c>
      <x:c r="D15" s="48" t="str">
        <x:v>Validation behavior</x:v>
      </x:c>
    </x:row>
  </x:sheetData>
  <x:mergeCells>
    <x:mergeCell ref="A1:D2"/>
    <x:mergeCell ref="A3:D3"/>
  </x:mergeCells>
  <x:pageMargins left="0.7" right="0.7" top="0.75" bottom="0.75" header="0.3" footer="0.3"/>
</x:worksheet>
</file>